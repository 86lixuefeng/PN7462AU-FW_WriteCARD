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_ddm\PN640_Collabnet\pn640_docs\trunk\06_Validation\RF_Validation\Bring-up\PN640_RF_Settings\30x50_ALM\V1.9.1\"/>
    </mc:Choice>
  </mc:AlternateContent>
  <bookViews>
    <workbookView xWindow="0" yWindow="0" windowWidth="7656" windowHeight="4056" activeTab="2"/>
  </bookViews>
  <sheets>
    <sheet name="Target" sheetId="1" r:id="rId1"/>
    <sheet name="Initiator" sheetId="4" r:id="rId2"/>
    <sheet name="Version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D294" i="4" l="1"/>
  <c r="BE75" i="4"/>
  <c r="BD242" i="4"/>
  <c r="BD188" i="4"/>
  <c r="BD222" i="4"/>
  <c r="BE124" i="4"/>
  <c r="AX213" i="4"/>
  <c r="V213" i="4"/>
  <c r="BA129" i="4"/>
  <c r="AP233" i="4"/>
  <c r="AR25" i="4"/>
  <c r="AX228" i="4"/>
  <c r="BE104" i="4"/>
  <c r="AZ260" i="4"/>
  <c r="AQ222" i="4"/>
  <c r="AQ213" i="4"/>
  <c r="AZ173" i="4"/>
  <c r="AW20" i="4"/>
  <c r="AP294" i="4"/>
  <c r="BB213" i="4"/>
  <c r="AY2" i="4"/>
  <c r="AL242" i="4"/>
  <c r="AU2" i="4"/>
  <c r="AI143" i="4"/>
  <c r="BA124" i="4"/>
  <c r="AJ242" i="4"/>
  <c r="AY43" i="4"/>
  <c r="BD199" i="4"/>
  <c r="AW275" i="4"/>
  <c r="AL213" i="4"/>
  <c r="AL233" i="4"/>
  <c r="AM2" i="4"/>
  <c r="V222" i="4"/>
  <c r="AQ291" i="4"/>
  <c r="AU25" i="4"/>
  <c r="AL228" i="4"/>
  <c r="BB260" i="4"/>
  <c r="BD260" i="4"/>
  <c r="BE20" i="4"/>
  <c r="BE143" i="4"/>
  <c r="BE109" i="4"/>
  <c r="BE164" i="4"/>
  <c r="BE2" i="4"/>
  <c r="AZ228" i="4"/>
  <c r="AX173" i="4"/>
  <c r="BE91" i="4"/>
  <c r="AL260" i="4"/>
  <c r="BB282" i="4"/>
  <c r="X213" i="4"/>
  <c r="X228" i="4"/>
  <c r="AJ199" i="4"/>
  <c r="AS25" i="4"/>
  <c r="AX260" i="4"/>
  <c r="BD297" i="4"/>
  <c r="AJ260" i="4"/>
  <c r="BE70" i="4"/>
  <c r="AT2" i="4"/>
  <c r="AQ260" i="4"/>
  <c r="AZ233" i="4"/>
  <c r="AJ213" i="4"/>
  <c r="BC124" i="4"/>
  <c r="AZ199" i="4"/>
  <c r="G20" i="4"/>
  <c r="J282" i="4"/>
  <c r="Z222" i="4"/>
  <c r="BC60" i="4"/>
  <c r="AJ222" i="4"/>
  <c r="AJ233" i="4"/>
  <c r="BC43" i="4"/>
  <c r="BC143" i="4"/>
  <c r="BB233" i="4"/>
  <c r="AQ233" i="4"/>
  <c r="AX233" i="4"/>
  <c r="BD228" i="4"/>
  <c r="BE129" i="4"/>
  <c r="BE25" i="4"/>
  <c r="BD291" i="4"/>
  <c r="BD213" i="4"/>
  <c r="BC2" i="4"/>
  <c r="T228" i="4"/>
  <c r="AX251" i="4"/>
  <c r="BE43" i="4"/>
  <c r="AW164" i="4"/>
  <c r="V228" i="4"/>
  <c r="T213" i="4"/>
  <c r="AW75" i="4"/>
  <c r="AL199" i="4"/>
  <c r="AX282" i="4"/>
  <c r="AW70" i="4"/>
  <c r="AY60" i="4"/>
  <c r="X222" i="4"/>
  <c r="AM25" i="4"/>
  <c r="BB228" i="4"/>
  <c r="AR2" i="4"/>
  <c r="BA109" i="4"/>
  <c r="AF228" i="4"/>
  <c r="AZ282" i="4"/>
  <c r="BA143" i="4"/>
  <c r="BA2" i="4"/>
  <c r="AK25" i="4"/>
  <c r="AP291" i="4"/>
  <c r="AP222" i="4"/>
  <c r="AZ222" i="4"/>
  <c r="AT25" i="4"/>
  <c r="AY109" i="4"/>
  <c r="Z228" i="4"/>
  <c r="AP260" i="4"/>
  <c r="AQ294" i="4"/>
  <c r="AQ228" i="4"/>
  <c r="BD173" i="4"/>
  <c r="BD282" i="4"/>
  <c r="BD275" i="4"/>
  <c r="BD251" i="4"/>
  <c r="BD233" i="4"/>
  <c r="AJ251" i="4"/>
  <c r="AJ228" i="4"/>
  <c r="T222" i="4"/>
  <c r="AQ199" i="4"/>
  <c r="BA43" i="4"/>
  <c r="BB173" i="4"/>
  <c r="AD222" i="4"/>
  <c r="BA60" i="4"/>
  <c r="AD228" i="4"/>
  <c r="BE60" i="4"/>
  <c r="BC129" i="4"/>
  <c r="AP199" i="4"/>
  <c r="AY143" i="4"/>
  <c r="AX199" i="4"/>
  <c r="AF222" i="4"/>
  <c r="AL222" i="4"/>
  <c r="AP228" i="4"/>
  <c r="BB222" i="4"/>
  <c r="AV188" i="4"/>
  <c r="AX222" i="4"/>
  <c r="BB199" i="4"/>
  <c r="BB242" i="4"/>
  <c r="AS2" i="4"/>
  <c r="BC109" i="4"/>
  <c r="AK2" i="4"/>
  <c r="AL251" i="4"/>
  <c r="AX242" i="4"/>
  <c r="Z213" i="4"/>
  <c r="AP213" i="4"/>
  <c r="AZ213" i="4"/>
  <c r="AZ242" i="4"/>
  <c r="P189" i="1"/>
  <c r="AB228" i="1"/>
  <c r="F221" i="1"/>
  <c r="Y42" i="1"/>
  <c r="W92" i="1"/>
  <c r="AD246" i="1"/>
  <c r="L189" i="1"/>
  <c r="AC57" i="1"/>
  <c r="AD228" i="1"/>
  <c r="Z237" i="1"/>
  <c r="AC92" i="1"/>
  <c r="K2" i="1"/>
  <c r="AB246" i="1"/>
  <c r="N189" i="1"/>
  <c r="AA92" i="1"/>
  <c r="AC62" i="1"/>
  <c r="M2" i="1"/>
  <c r="AE57" i="1"/>
  <c r="AE92" i="1"/>
  <c r="AE62" i="1"/>
  <c r="Z228" i="1"/>
  <c r="J189" i="1"/>
  <c r="AB134" i="1"/>
  <c r="Z134" i="1"/>
  <c r="Y25" i="1"/>
  <c r="AD134" i="1"/>
  <c r="X221" i="1"/>
  <c r="Z246" i="1"/>
  <c r="R189" i="1"/>
  <c r="R221" i="1"/>
  <c r="G20" i="1"/>
  <c r="U92" i="1"/>
  <c r="G103" i="1" l="1"/>
  <c r="L233" i="4"/>
  <c r="K2" i="4"/>
  <c r="N199" i="4"/>
  <c r="O2" i="4"/>
  <c r="G70" i="4"/>
  <c r="K60" i="4"/>
  <c r="L251" i="4"/>
  <c r="AF199" i="4"/>
  <c r="Y2" i="4"/>
  <c r="N242" i="4"/>
  <c r="S43" i="4"/>
  <c r="P213" i="4"/>
  <c r="L228" i="4"/>
  <c r="AC143" i="4"/>
  <c r="AD199" i="4"/>
  <c r="AD233" i="4"/>
  <c r="K25" i="4"/>
  <c r="Q43" i="4"/>
  <c r="Z291" i="4"/>
  <c r="J213" i="4"/>
  <c r="T291" i="4"/>
  <c r="AI60" i="4"/>
  <c r="X260" i="4"/>
  <c r="AC43" i="4"/>
  <c r="AG25" i="4"/>
  <c r="S60" i="4"/>
  <c r="X291" i="4"/>
  <c r="AE25" i="4"/>
  <c r="L213" i="4"/>
  <c r="Q143" i="4"/>
  <c r="L260" i="4"/>
  <c r="AE2" i="4"/>
  <c r="O60" i="4"/>
  <c r="M143" i="4"/>
  <c r="K143" i="4"/>
  <c r="Q25" i="4"/>
  <c r="J242" i="4"/>
  <c r="O143" i="4"/>
  <c r="AF233" i="4"/>
  <c r="X233" i="4"/>
  <c r="N251" i="4"/>
  <c r="U25" i="4"/>
  <c r="X199" i="4"/>
  <c r="Z282" i="4"/>
  <c r="AA25" i="4"/>
  <c r="AO43" i="4"/>
  <c r="O25" i="4"/>
  <c r="M43" i="4"/>
  <c r="M25" i="4"/>
  <c r="M60" i="4"/>
  <c r="N233" i="4"/>
  <c r="J251" i="4"/>
  <c r="O43" i="4"/>
  <c r="Q60" i="4"/>
  <c r="J199" i="4"/>
  <c r="Z260" i="4"/>
  <c r="F188" i="4"/>
  <c r="AA2" i="4"/>
  <c r="Z233" i="4"/>
  <c r="W2" i="4"/>
  <c r="S143" i="4"/>
  <c r="X282" i="4"/>
  <c r="P251" i="4"/>
  <c r="L222" i="4"/>
  <c r="Z199" i="4"/>
  <c r="Q2" i="4"/>
  <c r="V291" i="4"/>
  <c r="N228" i="4"/>
  <c r="W25" i="4"/>
  <c r="P233" i="4"/>
  <c r="T199" i="4"/>
  <c r="J260" i="4"/>
  <c r="AG2" i="4"/>
  <c r="L199" i="4"/>
  <c r="P222" i="4"/>
  <c r="P260" i="4"/>
  <c r="AB213" i="4"/>
  <c r="J233" i="4"/>
  <c r="K43" i="4"/>
  <c r="T260" i="4"/>
  <c r="AO60" i="4"/>
  <c r="J222" i="4"/>
  <c r="V233" i="4"/>
  <c r="H173" i="4"/>
  <c r="N260" i="4"/>
  <c r="AC60" i="4"/>
  <c r="P228" i="4"/>
  <c r="AW25" i="4"/>
  <c r="V199" i="4"/>
  <c r="N222" i="4"/>
  <c r="P242" i="4"/>
  <c r="Y25" i="4"/>
  <c r="N213" i="4"/>
  <c r="T233" i="4"/>
  <c r="L242" i="4"/>
  <c r="J228" i="4"/>
  <c r="P199" i="4"/>
  <c r="V282" i="4"/>
  <c r="U2" i="4"/>
  <c r="AI43" i="4"/>
  <c r="T282" i="4"/>
  <c r="V260" i="4"/>
  <c r="M2" i="4"/>
  <c r="R183" i="1"/>
  <c r="N183" i="1"/>
  <c r="X149" i="1"/>
  <c r="S25" i="1"/>
  <c r="K25" i="1"/>
  <c r="AO57" i="1"/>
  <c r="F174" i="1"/>
  <c r="AB174" i="1"/>
  <c r="O125" i="1"/>
  <c r="Z183" i="1"/>
  <c r="AD189" i="1"/>
  <c r="K57" i="1"/>
  <c r="G42" i="1"/>
  <c r="Q42" i="1"/>
  <c r="F194" i="1"/>
  <c r="AG125" i="1"/>
  <c r="AB189" i="1"/>
  <c r="U62" i="1"/>
  <c r="K92" i="1"/>
  <c r="S2" i="1"/>
  <c r="AD174" i="1"/>
  <c r="Z194" i="1"/>
  <c r="G62" i="1"/>
  <c r="Q76" i="1"/>
  <c r="L183" i="1"/>
  <c r="S125" i="1"/>
  <c r="F149" i="1"/>
  <c r="Q25" i="1"/>
  <c r="Q57" i="1"/>
  <c r="J183" i="1"/>
  <c r="G125" i="1"/>
  <c r="O62" i="1"/>
  <c r="X203" i="1"/>
  <c r="AB160" i="1"/>
  <c r="F183" i="1"/>
  <c r="F134" i="1"/>
  <c r="K42" i="1"/>
  <c r="Q125" i="1"/>
  <c r="S42" i="1"/>
  <c r="N134" i="1"/>
  <c r="Z189" i="1"/>
  <c r="O57" i="1"/>
  <c r="I107" i="1"/>
  <c r="R134" i="1"/>
  <c r="AD160" i="1"/>
  <c r="G57" i="1"/>
  <c r="G2" i="1"/>
  <c r="Z174" i="1"/>
  <c r="AF160" i="1"/>
  <c r="AK62" i="1"/>
  <c r="G107" i="1"/>
  <c r="W62" i="1"/>
  <c r="F203" i="1"/>
  <c r="S57" i="1"/>
  <c r="J134" i="1"/>
  <c r="M25" i="1"/>
  <c r="P134" i="1"/>
  <c r="O42" i="1"/>
  <c r="G52" i="1"/>
  <c r="Q92" i="1"/>
  <c r="O92" i="1"/>
  <c r="Q62" i="1"/>
  <c r="AI57" i="1"/>
  <c r="K76" i="1"/>
  <c r="AD194" i="1"/>
  <c r="K62" i="1"/>
  <c r="F160" i="1"/>
  <c r="M92" i="1"/>
  <c r="G25" i="1"/>
  <c r="M76" i="1"/>
  <c r="AG2" i="1"/>
  <c r="O25" i="1"/>
  <c r="Z160" i="1"/>
  <c r="M57" i="1"/>
  <c r="AB183" i="1"/>
  <c r="AM62" i="1"/>
  <c r="AO62" i="1"/>
  <c r="Q2" i="1"/>
  <c r="AB194" i="1"/>
  <c r="G76" i="1"/>
  <c r="M42" i="1"/>
  <c r="L134" i="1"/>
  <c r="O2" i="1"/>
  <c r="R160" i="1"/>
  <c r="AI62" i="1"/>
  <c r="AK57" i="1"/>
  <c r="M125" i="1"/>
  <c r="M62" i="1"/>
  <c r="F189" i="1"/>
  <c r="P183" i="1"/>
  <c r="G92" i="1"/>
  <c r="AM57" i="1"/>
  <c r="O76" i="1"/>
  <c r="K125" i="1"/>
  <c r="AD183" i="1"/>
</calcChain>
</file>

<file path=xl/comments1.xml><?xml version="1.0" encoding="utf-8"?>
<comments xmlns="http://schemas.openxmlformats.org/spreadsheetml/2006/main">
  <authors>
    <author>Sundaresan Swaminathan</author>
  </authors>
  <commentList>
    <comment ref="A76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When setting for A 106 and A 212, should the Sens/Tau bitfields only be set or can entire register be set with SetReg</t>
        </r>
      </text>
    </comment>
    <comment ref="A92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Only the EdGeSel/RfCounter  needs to be changed for bit rates. Can we use SetReg and re-write the decoder bits or will it result in problem</t>
        </r>
      </text>
    </comment>
    <comment ref="A134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Mask is used to set the TX BITPHASE and MILLER SYNC ENABLE probably to avoid overwriting of ROM settings</t>
        </r>
      </text>
    </comment>
    <comment ref="F147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J147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N147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P147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R147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Z147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AB147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AD147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AO147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A149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Bitmask of 0xFF is used to avoid overwriting of the 3 other bitfields. Need to check if bitmask can be avoided.</t>
        </r>
      </text>
    </comment>
  </commentList>
</comments>
</file>

<file path=xl/comments2.xml><?xml version="1.0" encoding="utf-8"?>
<comments xmlns="http://schemas.openxmlformats.org/spreadsheetml/2006/main">
  <authors>
    <author>nxp36013</author>
    <author>Sundaresan Swaminathan</author>
    <author>G Maniraj Ashirwad</author>
  </authors>
  <commentList>
    <comment ref="D36" authorId="0" shapeId="0">
      <text>
        <r>
          <rPr>
            <b/>
            <sz val="9"/>
            <color indexed="81"/>
            <rFont val="Tahoma"/>
            <family val="2"/>
          </rPr>
          <t>nxp36013:</t>
        </r>
        <r>
          <rPr>
            <sz val="9"/>
            <color indexed="81"/>
            <rFont val="Tahoma"/>
            <family val="2"/>
          </rPr>
          <t xml:space="preserve">
Is it used for only Manchestor with subcarrier </t>
        </r>
      </text>
    </comment>
    <comment ref="A75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Can be set in HAL itself as the config is constant</t>
        </r>
      </text>
    </comment>
    <comment ref="A109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Only the EdGeSel/RfCounter  needs to be changed for bit rates. Can we use SetReg and re-write the decoder bits or will it result in problem</t>
        </r>
      </text>
    </comment>
    <comment ref="A173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Mask is used to set the TX BITPHASE and MILLER SYNC ENABLE probably to avoid overwriting of ROM settings</t>
        </r>
      </text>
    </comment>
    <comment ref="F186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H186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R186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AB186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AH186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AN186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AX186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AZ186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BB186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BD186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A188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Bitmask of 0xFF is used to avoid overwriting of the 3 other bitfields. Need to check if bitmask can be avoided.</t>
        </r>
      </text>
    </comment>
    <comment ref="AW275" authorId="2" shapeId="0">
      <text>
        <r>
          <rPr>
            <b/>
            <sz val="9"/>
            <color indexed="81"/>
            <rFont val="Tahoma"/>
            <family val="2"/>
          </rPr>
          <t>G Maniraj Ashirwad:</t>
        </r>
        <r>
          <rPr>
            <sz val="9"/>
            <color indexed="81"/>
            <rFont val="Tahoma"/>
            <family val="2"/>
          </rPr>
          <t xml:space="preserve">
Since TX section is not there for Active Initiator, we are applying it to the RX section</t>
        </r>
      </text>
    </comment>
    <comment ref="BD275" authorId="2" shapeId="0">
      <text>
        <r>
          <rPr>
            <b/>
            <sz val="9"/>
            <color indexed="81"/>
            <rFont val="Tahoma"/>
            <family val="2"/>
          </rPr>
          <t>G Maniraj Ashirwad:</t>
        </r>
        <r>
          <rPr>
            <sz val="9"/>
            <color indexed="81"/>
            <rFont val="Tahoma"/>
            <family val="2"/>
          </rPr>
          <t xml:space="preserve">
Since TX section is not there for Active Initiator, we are applying it to the RX section</t>
        </r>
      </text>
    </comment>
  </commentList>
</comments>
</file>

<file path=xl/sharedStrings.xml><?xml version="1.0" encoding="utf-8"?>
<sst xmlns="http://schemas.openxmlformats.org/spreadsheetml/2006/main" count="931" uniqueCount="459">
  <si>
    <t>CLIF_ANA_RX_REG</t>
  </si>
  <si>
    <t>RESERVED</t>
  </si>
  <si>
    <t>RX_SINGLE</t>
  </si>
  <si>
    <t>RX_PD_TEST_CLK</t>
  </si>
  <si>
    <t>RX_PD_MIXER</t>
  </si>
  <si>
    <t>RX_PD_ADC_Q</t>
  </si>
  <si>
    <t>RX_PD_ADC_I</t>
  </si>
  <si>
    <t>RX_PD_BBA_BIAS</t>
  </si>
  <si>
    <t>RX_PD_BBA_Q</t>
  </si>
  <si>
    <t>RX_PD_BBA_I</t>
  </si>
  <si>
    <t>RX_PD_VMID</t>
  </si>
  <si>
    <t>RX_VMID_RSEL</t>
  </si>
  <si>
    <t>RX_SHORT_MIX2BBA_ST2</t>
  </si>
  <si>
    <t>RX_SHORT_MIX2ADC</t>
  </si>
  <si>
    <t>RX_OC_ENABLE</t>
  </si>
  <si>
    <t>RX_HP_LOWF</t>
  </si>
  <si>
    <t>RX_HPCF</t>
  </si>
  <si>
    <t>RX_GAIN</t>
  </si>
  <si>
    <t>CLIF_AGC_CONFIG0_REG</t>
  </si>
  <si>
    <t>AGC_TESTMODE_ENABLE</t>
  </si>
  <si>
    <t>MILLER_BG_FREEZE_VALUE</t>
  </si>
  <si>
    <t>AGC_THRESHOLD</t>
  </si>
  <si>
    <t>AGC_TIME_CONSTANT</t>
  </si>
  <si>
    <t>AGC_SYNC_COMP_DISABLE</t>
  </si>
  <si>
    <t>AGC_INPUT_SEL</t>
  </si>
  <si>
    <t>AGC_LOAD</t>
  </si>
  <si>
    <t>AGC_MODE_SEL</t>
  </si>
  <si>
    <t>AGC_MODE_ENABLE</t>
  </si>
  <si>
    <t>CLIF_AGC_CONFIG1_REG</t>
  </si>
  <si>
    <t>AGC_RF_DETECT_SEL</t>
  </si>
  <si>
    <t>AGC_FREEZE_TX_SWITCH_VALUE</t>
  </si>
  <si>
    <t>AGC_MAX_TXRFOFF_ENABLE</t>
  </si>
  <si>
    <t>AGC_MASK_DURATION</t>
  </si>
  <si>
    <t>AGC_FREEZE_RESET_ON_RF_OFF</t>
  </si>
  <si>
    <t>AGC_FREEZE_ON_MILLER_BG</t>
  </si>
  <si>
    <t>AGC_FREEZE_ON_SOF_DETECTED</t>
  </si>
  <si>
    <t>AGC_FREEZE_ON_DPRESENT</t>
  </si>
  <si>
    <t>AGC_FREEZE_ON_DPRESENT_NEXT</t>
  </si>
  <si>
    <t>AGC_FREEZE_ON_RXWAIT_OFF</t>
  </si>
  <si>
    <t>AGC_FAST_MODE_DURATION</t>
  </si>
  <si>
    <t>AGC_FAST_MODE_RFON_EXT</t>
  </si>
  <si>
    <t>AGC_FAST_MODE_TX_OVER</t>
  </si>
  <si>
    <t>AGC_FAST_MODE_STEP</t>
  </si>
  <si>
    <t>AGC_FAST_MODE_ENABLE</t>
  </si>
  <si>
    <t>3FF</t>
  </si>
  <si>
    <t>CLIF_SIGPRO_ADCBCM_THRESHOLD_REG</t>
  </si>
  <si>
    <t>EDGE_DETECT_TH</t>
  </si>
  <si>
    <t>BIT_DETECT_TH</t>
  </si>
  <si>
    <t>CLIF_SIGPRO_ADCBCM_CONFIG_REG</t>
  </si>
  <si>
    <t>SYNC_MODE_SEL</t>
  </si>
  <si>
    <t>EPSILON_TH</t>
  </si>
  <si>
    <t>WATCH_DOG_VAL</t>
  </si>
  <si>
    <t>SYNC_MODE_ENABLE</t>
  </si>
  <si>
    <t>EDGE_DETECT_TAP_SEL</t>
  </si>
  <si>
    <t>ADCBCM_ENABLE_848</t>
  </si>
  <si>
    <t>ADCBCM_ENABLE_424</t>
  </si>
  <si>
    <t>ADCBCM_ENABLE_212</t>
  </si>
  <si>
    <t>ADCBCM_ENABLE_106</t>
  </si>
  <si>
    <t>ADCBCM_ENABLE</t>
  </si>
  <si>
    <t>CLIF_TRANSCEIVE_CONTROL_REG</t>
  </si>
  <si>
    <t>STATE_TRIGGER_SELECT</t>
  </si>
  <si>
    <t>TX_WAIT_RFON_ENABLE</t>
  </si>
  <si>
    <t>RX_WAIT_RFON_ENABLE</t>
  </si>
  <si>
    <t>TX_BITPHASE</t>
  </si>
  <si>
    <t>TX_MILLER_SYNC_ENABLE</t>
  </si>
  <si>
    <t>TX_SKIP_SEND_ENABLE</t>
  </si>
  <si>
    <t>TX_PICC2_TIMESLOT_ENABLE</t>
  </si>
  <si>
    <t>TX_FRAMESTEP_ENABLE</t>
  </si>
  <si>
    <t>RX_MULTIPLE_ENABLE</t>
  </si>
  <si>
    <t>MILLER_SYNC_ENABLE</t>
  </si>
  <si>
    <t>INITIATOR</t>
  </si>
  <si>
    <t>CLIF_ANA_CM_CONFIG_REG</t>
  </si>
  <si>
    <t>CM_PD_MILLER</t>
  </si>
  <si>
    <t>CM_MILLER_EN_LOCK</t>
  </si>
  <si>
    <t>CM_MILLER_SENS</t>
  </si>
  <si>
    <t>CM_MILLER_TAU</t>
  </si>
  <si>
    <t>CM_PD_MIXER_I</t>
  </si>
  <si>
    <t>CM_PD_MIXER_Q</t>
  </si>
  <si>
    <t>CM_MIXER_ENABLE_PULLDOWN</t>
  </si>
  <si>
    <t>CM_ATTEN_ALWAYS_ON</t>
  </si>
  <si>
    <t>CM_PD_CLKREC</t>
  </si>
  <si>
    <t>CM_PD_DLL</t>
  </si>
  <si>
    <t>CM_PD_DLL_CP</t>
  </si>
  <si>
    <t>CM_CLK_REC_DIFF</t>
  </si>
  <si>
    <t>CM_DLL_COARSE</t>
  </si>
  <si>
    <t>CLIF_SIGPRO_CM_CONFIG_REG</t>
  </si>
  <si>
    <t>ADV_MILLER_USE_RFCOUNTER</t>
  </si>
  <si>
    <t>ADV_MILLER_FILTER_ENABLE</t>
  </si>
  <si>
    <t>NRZ_DEC_ENABLE</t>
  </si>
  <si>
    <t>MANCHESTER_DEC_ENABLE</t>
  </si>
  <si>
    <t>MILLER_DEC_ENABLE</t>
  </si>
  <si>
    <t>ADV_MILLER_CALIB_OFF</t>
  </si>
  <si>
    <t>ADV_MILLER_EDGE_SEL</t>
  </si>
  <si>
    <t>CM_EGT_CHECK</t>
  </si>
  <si>
    <t>TAU</t>
  </si>
  <si>
    <t>MODE_DETECTOR_OFF</t>
  </si>
  <si>
    <t>RX_FRAMING</t>
  </si>
  <si>
    <t>CLIF_ANA_PBF_CONTROL_REG</t>
  </si>
  <si>
    <t>PBF_INVERT_ON_TXACTIVE</t>
  </si>
  <si>
    <t>PBF_ALM_AUTO_SWITCH_ENABLE</t>
  </si>
  <si>
    <t>PBF_ALM_FW_RESET</t>
  </si>
  <si>
    <t>PBF_SHORT_SELECT_RM</t>
  </si>
  <si>
    <t>PBF_PD_REG</t>
  </si>
  <si>
    <t>PBF_EN_LIMVDHF</t>
  </si>
  <si>
    <t>PBF_SHORT_SELECT</t>
  </si>
  <si>
    <t>PBF_MOD_SELECT</t>
  </si>
  <si>
    <t>CLIF_ANA_TX_AMPLITUDE_REG</t>
  </si>
  <si>
    <t>TX_GSN_CW_RM</t>
  </si>
  <si>
    <t>TX_GSN_CW_CM</t>
  </si>
  <si>
    <t>TX_GSN_MOD_RM</t>
  </si>
  <si>
    <t>TX_GSN_MOD_CM</t>
  </si>
  <si>
    <t>TX_CW_AMPLITUDE_RM</t>
  </si>
  <si>
    <t>TX_CW_AMPLITUDE_ALM_CM</t>
  </si>
  <si>
    <t>TX_RESIDUAL_CARRIER</t>
  </si>
  <si>
    <t>TX_CW_TO_MAX_RM</t>
  </si>
  <si>
    <t>TX_CW_TO_MAX_ALM_CM</t>
  </si>
  <si>
    <t>TX_PD</t>
  </si>
  <si>
    <t>F</t>
  </si>
  <si>
    <t>CLIF_ANA_TX_CLK_CONTROL_REG</t>
  </si>
  <si>
    <t>TX_CLK_MODE_OVUN_PREV</t>
  </si>
  <si>
    <t>TX2_INV_RM</t>
  </si>
  <si>
    <t>TX2_INV_CM</t>
  </si>
  <si>
    <t>TX1_INV_RM</t>
  </si>
  <si>
    <t>TX1_INV_CM</t>
  </si>
  <si>
    <t>TX_CLK_MODE_RM</t>
  </si>
  <si>
    <t>TX_PD_CLK_GEN</t>
  </si>
  <si>
    <t>CLIF_TX_UNDERSHOOT_CONFIG_REG</t>
  </si>
  <si>
    <t>TX_UNDERSHOOT_PATTERN</t>
  </si>
  <si>
    <t>TX_UNDERSHOOT_PATTERN_LEN</t>
  </si>
  <si>
    <t>TX_UNDERSHOOT_PROT_ENABLE</t>
  </si>
  <si>
    <t>CLIF_TX_OVERSHOOT_CONFIG_REG</t>
  </si>
  <si>
    <t>TX_OVERSHOOT_PATTERN</t>
  </si>
  <si>
    <t>TX_OVERSHOOT_PATTERN_LEN</t>
  </si>
  <si>
    <t>TX_OVERSHOOT_PROT_ENABLE</t>
  </si>
  <si>
    <t>CLIF_AGC_INPUT_REG</t>
  </si>
  <si>
    <t>AGC_RM_VALUE</t>
  </si>
  <si>
    <t>AGC_CM_VALUE</t>
  </si>
  <si>
    <t>CLIF_TX_CONTROL_REG</t>
  </si>
  <si>
    <t>TX_BOOSTER_CLOCK_SELECT</t>
  </si>
  <si>
    <t>TX_BOOSTER_CLOCK_ENABLE</t>
  </si>
  <si>
    <t>TX_CM_GSN_MOD_ON_TXACTIVE</t>
  </si>
  <si>
    <t>TX_ALM_BPSK_ENABLE</t>
  </si>
  <si>
    <t>TX_ALM_TYPE_SELECT</t>
  </si>
  <si>
    <t>TX_ALM_DRIVER_SELECT</t>
  </si>
  <si>
    <t>TX_ALM_ENABLE</t>
  </si>
  <si>
    <t>TX_INVERT</t>
  </si>
  <si>
    <t>TX_SOURCE_SELECT</t>
  </si>
  <si>
    <t>CLIF_ANA_CLK_MAN_REG</t>
  </si>
  <si>
    <t>CLOCK_TX_SEL_SLALM</t>
  </si>
  <si>
    <t>CLOCK_PD_RF_27M12</t>
  </si>
  <si>
    <t>CLOCK_ADC_SEL_RF</t>
  </si>
  <si>
    <t>CLOCK_TX_SEL_RF</t>
  </si>
  <si>
    <t>CLOCK_CONFIG_DLL_ALM</t>
  </si>
  <si>
    <t>Antenna</t>
  </si>
  <si>
    <t>C8</t>
  </si>
  <si>
    <t>CLIF_RX_CONFIG_REG</t>
  </si>
  <si>
    <t>RX_PARITY_EMD_ON_SOVER</t>
  </si>
  <si>
    <t>RX_MISSING_PARITY_IS_EMD</t>
  </si>
  <si>
    <t>RX_ADVANCED_EMD_ENABLE</t>
  </si>
  <si>
    <t>RX_PARITY_ERROR_IS_EMD</t>
  </si>
  <si>
    <t>RX_EMD_SUP</t>
  </si>
  <si>
    <t>RX_COLL_IS_DATA_ERROR</t>
  </si>
  <si>
    <t>VALUES_AFTER_COLLISION</t>
  </si>
  <si>
    <t>RX_CRC_ALLOW_BITS</t>
  </si>
  <si>
    <t>RX_FORCE_CRC_WRITE</t>
  </si>
  <si>
    <t>RX_PARITY_ERR_8BITS_ENABLE</t>
  </si>
  <si>
    <t>RX_BIT_ALIGN</t>
  </si>
  <si>
    <t>RX_EOF_SYMBOL</t>
  </si>
  <si>
    <t>RX_EOF_TYPE</t>
  </si>
  <si>
    <t>RX_STOP_CONDITION</t>
  </si>
  <si>
    <t>RX_MSB_FIRST</t>
  </si>
  <si>
    <t>RX_STOPBIT_ENABLE</t>
  </si>
  <si>
    <t>RX_PARITY_TYPE</t>
  </si>
  <si>
    <t>RX_PARITY_ENABLE</t>
  </si>
  <si>
    <t>A8</t>
  </si>
  <si>
    <t>1F</t>
  </si>
  <si>
    <t>CLIF_ANA_TX_SHAPE_CONTROL_REG</t>
  </si>
  <si>
    <t>TX_RESIDUAL_CARRIER_OV_PREV</t>
  </si>
  <si>
    <t>TX_SET_BYPASS_SC_SHAPING</t>
  </si>
  <si>
    <t>TX_SET_SLEW_SHUNTREG</t>
  </si>
  <si>
    <t>TX_SET_TAU_MOD_FALLING</t>
  </si>
  <si>
    <t>TX_SET_TAU_MOD_RISING</t>
  </si>
  <si>
    <t>CLIF_TX_DATA_MOD_REG</t>
  </si>
  <si>
    <t>TX_DATA_MOD_WIDTH</t>
  </si>
  <si>
    <t>TX_DATA_MILLER_ENABLE</t>
  </si>
  <si>
    <t>TX_DATA_INV_ENV</t>
  </si>
  <si>
    <t>TX_DATA_ENV_TYPE</t>
  </si>
  <si>
    <t>TX_DATA_SC_FREQ</t>
  </si>
  <si>
    <t>TX_DATA_BIT_FREQ</t>
  </si>
  <si>
    <t>CLIF_TX_SYMBOL23_MOD_REG</t>
  </si>
  <si>
    <t>TX_S23_MODWIDTH</t>
  </si>
  <si>
    <t>TX_S23_MILLER_ENABLE</t>
  </si>
  <si>
    <t>TX_S23_INV_ENV</t>
  </si>
  <si>
    <t>TX_S23_ENV_TYPE</t>
  </si>
  <si>
    <t>TX_S23_SC_FREQ</t>
  </si>
  <si>
    <t>TX_S23_BIT_FREQ</t>
  </si>
  <si>
    <t>CLIF_TX_SYMBOL_CONFIG_REG</t>
  </si>
  <si>
    <t>TX_SYMBOL1_BURST_LEN</t>
  </si>
  <si>
    <t>TX_SYMBOL1_BURST_TYPE</t>
  </si>
  <si>
    <t>TX_SYMBOL1_BURST_ONLY</t>
  </si>
  <si>
    <t>TX_SYMBOL1_BURST_ENABLE</t>
  </si>
  <si>
    <t>TX_SYMBOL0_BURST_LEN</t>
  </si>
  <si>
    <t>TX_SYMBOL0_BURST_TYPE</t>
  </si>
  <si>
    <t>TX_SYMBOL0_BURST_ONLY</t>
  </si>
  <si>
    <t>TX_SYMBOL0_BURST_ENABLE</t>
  </si>
  <si>
    <t>TX_SYMBOL3_LEN</t>
  </si>
  <si>
    <t>TX_SYMBOL2_LEN</t>
  </si>
  <si>
    <t>TX_SYMBOL1_LEN</t>
  </si>
  <si>
    <t>TX_SYMBOL0_LEN</t>
  </si>
  <si>
    <t>1B</t>
  </si>
  <si>
    <t>1E</t>
  </si>
  <si>
    <t>CLIF_SIGPRO_RM_CONFIG1_REG</t>
  </si>
  <si>
    <t>BPSK_IQ_MODE</t>
  </si>
  <si>
    <t>BPSK_FILT6</t>
  </si>
  <si>
    <t>RESYNC_EQ_ON</t>
  </si>
  <si>
    <t>CORR_RESET_ON</t>
  </si>
  <si>
    <t>VALID_FILT_OFF</t>
  </si>
  <si>
    <t>DATA_BEFORE_MIN</t>
  </si>
  <si>
    <t>MIN_LEVEL</t>
  </si>
  <si>
    <t>MIN_LEVEL_P</t>
  </si>
  <si>
    <t>USE_SMALL_EVAL</t>
  </si>
  <si>
    <t>COLL_LEVEL</t>
  </si>
  <si>
    <t>PRE_FILTER</t>
  </si>
  <si>
    <t>RECT_FILTER</t>
  </si>
  <si>
    <t>SYNC_HIGH</t>
  </si>
  <si>
    <t>FSK</t>
  </si>
  <si>
    <t>BPSK</t>
  </si>
  <si>
    <t>RegisterName</t>
  </si>
  <si>
    <t>MSBit</t>
  </si>
  <si>
    <t>LSBit</t>
  </si>
  <si>
    <t>RegisterFiled</t>
  </si>
  <si>
    <t>Comments</t>
  </si>
  <si>
    <t>I_TX_B</t>
  </si>
  <si>
    <t>I_RX_B</t>
  </si>
  <si>
    <t>I_TX_B_106</t>
  </si>
  <si>
    <t>I_RX_B_106</t>
  </si>
  <si>
    <t>I_TX_B_212</t>
  </si>
  <si>
    <t>I_RX_B_212</t>
  </si>
  <si>
    <t>I_TX_B_424</t>
  </si>
  <si>
    <t>I_RX_B_424</t>
  </si>
  <si>
    <t>I_TX_B_848</t>
  </si>
  <si>
    <t>I_RX_B_848</t>
  </si>
  <si>
    <t>I_TX_F</t>
  </si>
  <si>
    <t>I_RX_F_P</t>
  </si>
  <si>
    <t>I_TX_F_212</t>
  </si>
  <si>
    <t>I_TX_F_424</t>
  </si>
  <si>
    <t>I_RX_15693</t>
  </si>
  <si>
    <t>I_TX_A_106</t>
  </si>
  <si>
    <t>I_TX_A_212</t>
  </si>
  <si>
    <t>I_RX_A_212</t>
  </si>
  <si>
    <t>I_TX_A_424</t>
  </si>
  <si>
    <t>I_RX_A_424</t>
  </si>
  <si>
    <t>I_TX_A_848</t>
  </si>
  <si>
    <t>I_RX_A_848</t>
  </si>
  <si>
    <t>I_TX_A</t>
  </si>
  <si>
    <t>I_RX_A_P</t>
  </si>
  <si>
    <t>I_RX_A_106_P</t>
  </si>
  <si>
    <t>T_TX_GTM</t>
  </si>
  <si>
    <t>T_RX_GTM</t>
  </si>
  <si>
    <t>T_TX_A_P</t>
  </si>
  <si>
    <t>T_RX_A</t>
  </si>
  <si>
    <t>T_TX_A_106_P</t>
  </si>
  <si>
    <t>T_RX_A_106</t>
  </si>
  <si>
    <t>T_TX_A_212</t>
  </si>
  <si>
    <t>T_RX_A_212</t>
  </si>
  <si>
    <t>T_TX_A_424</t>
  </si>
  <si>
    <t>T_RX_A_424</t>
  </si>
  <si>
    <t>T_TX_A_848</t>
  </si>
  <si>
    <t>T_RX_A_848</t>
  </si>
  <si>
    <t>T_TX_F_P</t>
  </si>
  <si>
    <t>T_RX_F</t>
  </si>
  <si>
    <t>T_TX_F_212_P</t>
  </si>
  <si>
    <t>T_RX_F_212</t>
  </si>
  <si>
    <t>T_TX_F_424_P</t>
  </si>
  <si>
    <t>T_RX_F_424</t>
  </si>
  <si>
    <t>T_TX_B</t>
  </si>
  <si>
    <t>T_RX_B</t>
  </si>
  <si>
    <t>T_TX_B_106</t>
  </si>
  <si>
    <t>T_RX_B_106</t>
  </si>
  <si>
    <t>T_TX_B_212</t>
  </si>
  <si>
    <t>T_RX_B_212</t>
  </si>
  <si>
    <t>T_TX_B_424</t>
  </si>
  <si>
    <t>T_RX_B_424</t>
  </si>
  <si>
    <t>T_TX_B_848</t>
  </si>
  <si>
    <t>T_RX_B_848</t>
  </si>
  <si>
    <t>T_TX_ACT</t>
  </si>
  <si>
    <t>T_RX_ACT</t>
  </si>
  <si>
    <t>T_TX_A_106_ACT</t>
  </si>
  <si>
    <t>T_RX_A_106_ACT</t>
  </si>
  <si>
    <t>T_TX_F_212_ACT</t>
  </si>
  <si>
    <t>T_RX_F_212_ACT</t>
  </si>
  <si>
    <t>T_TX_F_424_ACT</t>
  </si>
  <si>
    <t>T_RX_F_424_ACT</t>
  </si>
  <si>
    <t>I_RX_ACT</t>
  </si>
  <si>
    <t>I_TX</t>
  </si>
  <si>
    <t>I_RX_PASS</t>
  </si>
  <si>
    <t>I_RX_F_212_P</t>
  </si>
  <si>
    <t>I_RX_F_424_P</t>
  </si>
  <si>
    <t>I_TX_EPCV2</t>
  </si>
  <si>
    <t>I_RX_EPCV2</t>
  </si>
  <si>
    <t>I_RX_ACT_106</t>
  </si>
  <si>
    <t>I_RX_ACT_212</t>
  </si>
  <si>
    <t>I_RX_ACT_424</t>
  </si>
  <si>
    <t>1F0</t>
  </si>
  <si>
    <t>0F</t>
  </si>
  <si>
    <t>B</t>
  </si>
  <si>
    <t>3C</t>
  </si>
  <si>
    <t>CM_PD_RSSI</t>
  </si>
  <si>
    <t>MANCHESTER_BITDETECT_ENABLE</t>
  </si>
  <si>
    <t>MANCHESTER_LOCK_ENABLE</t>
  </si>
  <si>
    <t>DYNAMIC_BPSK_TH_ENABLE</t>
  </si>
  <si>
    <t>C</t>
  </si>
  <si>
    <t>TX_ASKMODE_SELECT</t>
  </si>
  <si>
    <t>TX_UNDERSHOOT_PROT_LAST_SC_ENABLE</t>
  </si>
  <si>
    <t>TX_ALM_LD_MASK_VALUE</t>
  </si>
  <si>
    <t>TX_ALM_LD_MASK_ENABLE</t>
  </si>
  <si>
    <t>TX_ENV_SYNC_ENABLE</t>
  </si>
  <si>
    <t>TX_ACTIVE_RF_SYNC_ENABLE</t>
  </si>
  <si>
    <t>CLIF_BBA_CONTROL_REG</t>
  </si>
  <si>
    <t>CM_BBA_CTRL_FREEZE_MODE</t>
  </si>
  <si>
    <t>CM_BBA_CTRL_WATCH_DOG_ENABLE</t>
  </si>
  <si>
    <t>CM_BBA_CTRL_HYST2_DOWN</t>
  </si>
  <si>
    <t>CM_BBA_CTRL_HYST2_UP</t>
  </si>
  <si>
    <t>CM_BBA_CTRL_HYST1_DOWN</t>
  </si>
  <si>
    <t>CM_BBA_CTRL_HYST1_UP</t>
  </si>
  <si>
    <t>CM_BBA_CTRL_ENABLE</t>
  </si>
  <si>
    <t>BIT_DETECT_DYN_MODE</t>
  </si>
  <si>
    <t>EDGE_DETECT_DYN_MODE</t>
  </si>
  <si>
    <t>WATCH_DOG_MODE</t>
  </si>
  <si>
    <t>Name</t>
  </si>
  <si>
    <t>Last Modified</t>
  </si>
  <si>
    <t>Last Author</t>
  </si>
  <si>
    <t>30x50 SLALM</t>
  </si>
  <si>
    <t>A</t>
  </si>
  <si>
    <t>CLIF_TX_SYMBOL01_MOD_REG</t>
  </si>
  <si>
    <t>CLIF_TX_SYMBOL0_DEF_REG</t>
  </si>
  <si>
    <t>TX_SYMBOL0_DEF</t>
  </si>
  <si>
    <t>TX_S01_MODWIDTH</t>
  </si>
  <si>
    <t>TX_S01_MILLER_ENABLE</t>
  </si>
  <si>
    <t>TX_S01_INV_ENV</t>
  </si>
  <si>
    <t>TX_S01_ENV_TYPE</t>
  </si>
  <si>
    <t>TX_S01_SC_FREQ</t>
  </si>
  <si>
    <t>TX_S01_BIT_FREQ</t>
  </si>
  <si>
    <t>CLIF_ANA_AGC_REG</t>
  </si>
  <si>
    <t>AGC_TEST_CLOCK_SEL</t>
  </si>
  <si>
    <t>AGC_PD</t>
  </si>
  <si>
    <t>AGC_VREF_SEL</t>
  </si>
  <si>
    <t>I_TX_15693_100</t>
  </si>
  <si>
    <t>I_RX_15693_26</t>
  </si>
  <si>
    <t>I_TX_15693_10</t>
  </si>
  <si>
    <t>I_RX_15693_53</t>
  </si>
  <si>
    <t>F000</t>
  </si>
  <si>
    <t>FF</t>
  </si>
  <si>
    <t>I_TX_EPCV2_TARI_9_44</t>
  </si>
  <si>
    <t>I_TX_EPCV2_TARI_18_88</t>
  </si>
  <si>
    <t>I_RX_EPCV2_SC424_2MP</t>
  </si>
  <si>
    <t>I_RX_EPCV2_SC424_4MP</t>
  </si>
  <si>
    <t>I_RX_EPCV2_SC848_2MP</t>
  </si>
  <si>
    <t>I_RX_EPCV2_SC848_4MP</t>
  </si>
  <si>
    <t>I_TX_ACT</t>
  </si>
  <si>
    <t>I_TX_ACT_106</t>
  </si>
  <si>
    <t>I_TX_ACT_212</t>
  </si>
  <si>
    <t>I_TX_ACT_424</t>
  </si>
  <si>
    <t>1D</t>
  </si>
  <si>
    <t>I_TX_15693</t>
  </si>
  <si>
    <t>E0</t>
  </si>
  <si>
    <t>Version Number</t>
  </si>
  <si>
    <t>V1.0</t>
  </si>
  <si>
    <t>Initial Version. Changes in this excel sheet and user_ee_30x50.xml should be logged further here. User_ee.xml should be same as user_ee_30x50.xml while generating the eeprom for 30x50 Antenna.</t>
  </si>
  <si>
    <t>V1.1</t>
  </si>
  <si>
    <t>CLIF_TX_UNDERSHOOT_CONFIG_REG - Change in the value for All modes and Data Rate as per Stefan mail. 
- Enable bit 5 (undershoot prevention for last subcarrier of LMA) for all modes/datarates (CM):
- Set the pattern length (taken from PN549)
Value(GTM): 001F002Eh
CLIF_SIGPRO_ADCBCM_CONFIG_REG - Value updated as per the 5180 changes. Bit Fields which are swaped are taken care correctly and new MRA2 Bit Fields are updated
CLIF_BBA_CONTROL_REG - Updated to '0' (BBA Control is disabled)to use ANA_RX_REG - BBA GAIN. This value will be tracked via PR SC3692
CLIF_ANA_CLK_MAN_REG - Register Value added for Felica Passive CM transition(For ALM, GTM and Felica values are different)
DYNAMIC_BPSK_TH_ENABLE - Enabled for Felica Reader Mode Passive Initiator 212 and 424</t>
  </si>
  <si>
    <t>V1.2</t>
  </si>
  <si>
    <t>All the test bus signal are disable except TX_ACTIVE on Digital Test Bus 1 (GPIO4) in user_ee_30x50.xml</t>
  </si>
  <si>
    <t>V1.3</t>
  </si>
  <si>
    <t xml:space="preserve">
Separate TXOCP configuration added for 3.0V and 3.6V TXLDO configuration. (user_ee_30x50_3.0_3.6V.xml)</t>
  </si>
  <si>
    <t>Integration with the PN5180 RF settings "PN5180_RF_ConfigurationSnapshot_20151103"</t>
  </si>
  <si>
    <t>D</t>
  </si>
  <si>
    <t xml:space="preserve">V1.4 </t>
  </si>
  <si>
    <t xml:space="preserve">V1.5 </t>
  </si>
  <si>
    <t>I_TX_BOOT</t>
  </si>
  <si>
    <t>I_RX_BOOT</t>
  </si>
  <si>
    <t>CLIF_ANA_TEST_REG</t>
  </si>
  <si>
    <t>TX_ TESTMODE_ENABLE</t>
  </si>
  <si>
    <t>TXPROT_TYPE_B_DEMOD_DYN_ENABLE</t>
  </si>
  <si>
    <t>TX_PD_CLK_GEN_OVERRIDE</t>
  </si>
  <si>
    <t>PBF_PD_CM_OVERRIDE</t>
  </si>
  <si>
    <t>TX_SET_ILOAD</t>
  </si>
  <si>
    <t>TX_CLOCK_DUTY_SET_N</t>
  </si>
  <si>
    <t>TX_CLOCK_DUTY_SET_P</t>
  </si>
  <si>
    <t>TX_CLOCK_DUTY_SET_PD</t>
  </si>
  <si>
    <t>TX_SET_IBOOST</t>
  </si>
  <si>
    <t>TX_CW_AMP_REF2TVDD</t>
  </si>
  <si>
    <t>CLIF_ANA_NFCLD_REG</t>
  </si>
  <si>
    <t>CM_PD_NFC_DET</t>
  </si>
  <si>
    <t>CM_RF_NFC</t>
  </si>
  <si>
    <t>CLIF_TX_SYMBOL1_DEF_REG</t>
  </si>
  <si>
    <t>TX_SYMBOL1_DEF</t>
  </si>
  <si>
    <t>A1</t>
  </si>
  <si>
    <t>1. Bug Fix - SC3871
2. Bit Fields of "CLIF_SIGPRO_ADCBCM_CONFIG_REG", are updated with MRA2 Bit Fields
3. Addition of Boot Eeprom Settings
4. CLIF_TX_SYMBOL1_DEF_REG is added</t>
  </si>
  <si>
    <t>V1.5.1</t>
  </si>
  <si>
    <t>1. Bug Fix - Type B update for "CLIF_TX_SYMBOL1_DEF_REG"</t>
  </si>
  <si>
    <t>v1.5.2</t>
  </si>
  <si>
    <t>Bug Fix - SC3897. TX_CW_AMP_REF2TVDD is set to '0' in the boot settings</t>
  </si>
  <si>
    <t>V1.6</t>
  </si>
  <si>
    <r>
      <t xml:space="preserve">"Integration with the PN5180 Eeprom Configuration "PN5180 FW RC4 release - V0.143"". 
</t>
    </r>
    <r>
      <rPr>
        <b/>
        <sz val="11"/>
        <color theme="1"/>
        <rFont val="Calibri"/>
        <family val="2"/>
        <scheme val="minor"/>
      </rPr>
      <t>Register Changes: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>CLIF_ANA_RX_REG</t>
    </r>
    <r>
      <rPr>
        <sz val="11"/>
        <color theme="1"/>
        <rFont val="Calibri"/>
        <family val="2"/>
        <scheme val="minor"/>
      </rPr>
      <t xml:space="preserve"> -  Initiator F424
</t>
    </r>
    <r>
      <rPr>
        <b/>
        <sz val="11"/>
        <color theme="1"/>
        <rFont val="Calibri"/>
        <family val="2"/>
        <scheme val="minor"/>
      </rPr>
      <t>CLIF_SIGPRO_RM_CONFIG1_REG</t>
    </r>
    <r>
      <rPr>
        <sz val="11"/>
        <color theme="1"/>
        <rFont val="Calibri"/>
        <family val="2"/>
        <scheme val="minor"/>
      </rPr>
      <t xml:space="preserve"> - Initiator F212
</t>
    </r>
    <r>
      <rPr>
        <b/>
        <sz val="11"/>
        <color theme="1"/>
        <rFont val="Calibri"/>
        <family val="2"/>
        <scheme val="minor"/>
      </rPr>
      <t xml:space="preserve">CLIF_ANA_CLK_MAN_REG - </t>
    </r>
    <r>
      <rPr>
        <sz val="11"/>
        <color theme="1"/>
        <rFont val="Calibri"/>
        <family val="2"/>
        <scheme val="minor"/>
      </rPr>
      <t>Target GTM, Felica</t>
    </r>
  </si>
  <si>
    <t>V1.7</t>
  </si>
  <si>
    <r>
      <t xml:space="preserve">Bug Fix : Register configuration mismatch with  "PN5180 FW RC4 release - V0.143" .
</t>
    </r>
    <r>
      <rPr>
        <b/>
        <sz val="11"/>
        <color theme="1"/>
        <rFont val="Calibri"/>
        <family val="2"/>
        <scheme val="minor"/>
      </rPr>
      <t xml:space="preserve">Register Changes :
CLIF_ANA_TX_SHAPE_CONTROL_REG - </t>
    </r>
    <r>
      <rPr>
        <sz val="11"/>
        <color theme="1"/>
        <rFont val="Calibri"/>
        <family val="2"/>
        <scheme val="minor"/>
      </rPr>
      <t>P2P AT 212</t>
    </r>
    <r>
      <rPr>
        <b/>
        <sz val="11"/>
        <color theme="1"/>
        <rFont val="Calibri"/>
        <family val="2"/>
        <scheme val="minor"/>
      </rPr>
      <t xml:space="preserve">
CLIF_ANA_TX_SHAPE_CONTROL_REG -</t>
    </r>
    <r>
      <rPr>
        <sz val="11"/>
        <color theme="1"/>
        <rFont val="Calibri"/>
        <family val="2"/>
        <scheme val="minor"/>
      </rPr>
      <t xml:space="preserve"> P2P AT 424</t>
    </r>
  </si>
  <si>
    <t>V1.7.1</t>
  </si>
  <si>
    <t>Bit Fields of "CLIF_SIGPRO_ADCBCM_CONFIG_REG", are updated with MRA2 Bit Fields</t>
  </si>
  <si>
    <t>V1.7.2</t>
  </si>
  <si>
    <t>BugFix artf153195: TX_ASKMODE_SELECT bit is set for P2P-AT</t>
  </si>
  <si>
    <r>
      <t xml:space="preserve">CLIF_SIGPRO_ADCBCM_CONFIG_REG configuration update based for MRA2 Addition bit fields.
</t>
    </r>
    <r>
      <rPr>
        <b/>
        <sz val="11"/>
        <color theme="1"/>
        <rFont val="Calibri"/>
        <family val="2"/>
        <scheme val="minor"/>
      </rPr>
      <t>Register Changes :
CLIF_SIGPRO_ADCBCM_CONFIG_REG -</t>
    </r>
    <r>
      <rPr>
        <sz val="11"/>
        <color theme="1"/>
        <rFont val="Calibri"/>
        <family val="2"/>
        <scheme val="minor"/>
      </rPr>
      <t xml:space="preserve"> GTM,CM - A106, A212, A424, A848, F212, F424, AI 212, AI 424
</t>
    </r>
  </si>
  <si>
    <t>V1.7.3</t>
  </si>
  <si>
    <t>Renaming of TxOCP to DPC (eeprom xml files)</t>
  </si>
  <si>
    <t>V1.7.4</t>
  </si>
  <si>
    <t>V1.8</t>
  </si>
  <si>
    <t>Separate PCD configuration added for &lt;4v and &gt;4v configuration. (In order to have the same structure similar to 65x65 Antenna)</t>
  </si>
  <si>
    <t>CLIF_ANA_NFCLD_REG value is updated - Initiator. 
EDGE_DETECT_TAP_SEL updated for Type A 424, 848 CM - Target</t>
  </si>
  <si>
    <t>V1.8.1</t>
  </si>
  <si>
    <t>V1.8.2</t>
  </si>
  <si>
    <t>30x50_SLALM_MRA3</t>
  </si>
  <si>
    <t>CLIF_ANA_NFCLD_REG set to 0x0C</t>
  </si>
  <si>
    <t>V1.9</t>
  </si>
  <si>
    <t>CLIF_TEST_CONTROL_REG</t>
  </si>
  <si>
    <t>CLIF_SOFT_RESET</t>
  </si>
  <si>
    <t>CLIF_TESTBIT_1</t>
  </si>
  <si>
    <t>AGC_HP_AUTO_ENABLE</t>
  </si>
  <si>
    <t>NRZ_INPUT_FILTER_BYPASS</t>
  </si>
  <si>
    <t>RXDEC_NFCC5699_BYPASS</t>
  </si>
  <si>
    <t>TX_BOOSTER_DRIVER_ON</t>
  </si>
  <si>
    <t>DEFAULT_PLL_MODE_ENABLE</t>
  </si>
  <si>
    <t>TADT_EXTEND_SELECT</t>
  </si>
  <si>
    <t>PRBS_TYPE</t>
  </si>
  <si>
    <t>LONG_LD_MASK</t>
  </si>
  <si>
    <t>TIDT_SKIP_ENABLE</t>
  </si>
  <si>
    <t>TYPEB_TX_WAIT_PRESELECT</t>
  </si>
  <si>
    <t>DIRECT_DATA_ACCESS_ENABLE</t>
  </si>
  <si>
    <t>NRZ_SOF_DETECT_TESTBIT</t>
  </si>
  <si>
    <t>MILLER_CLOCKFAIL_IGNORED</t>
  </si>
  <si>
    <t>MODE_DETECTOR_SEL</t>
  </si>
  <si>
    <t>MILLER_DECODER_SEL</t>
  </si>
  <si>
    <t>TADT_SKIP_CHECK_ENABLE</t>
  </si>
  <si>
    <t>RF_FREQ_OK_OVERRIDE_ENABLE</t>
  </si>
  <si>
    <t>RFDET_SOURCE_SEL</t>
  </si>
  <si>
    <t>EXTERN_PRO</t>
  </si>
  <si>
    <t>SIG_STARTBIT</t>
  </si>
  <si>
    <t>SIG_I</t>
  </si>
  <si>
    <t>SIG_Q</t>
  </si>
  <si>
    <t>RESET_RF_ON_OFF</t>
  </si>
  <si>
    <t>STOP_CLOCK</t>
  </si>
  <si>
    <t>TX_ENV_TB_INPUT_ENABLE</t>
  </si>
  <si>
    <t>1. CLIF_TEST_CONTROL_REG added to the Initiator Tab
2. Boot Register values are updated for all registers
3. Duplicate Entry of CLIF_ANA_AGC_REG removed</t>
  </si>
  <si>
    <t>CLIF_ANA_NFCLD_REG set to 0x07</t>
  </si>
  <si>
    <t>V1.9.1</t>
  </si>
  <si>
    <t>Change for 30x50mm DPC Config (AGC Hi Threshold for 5VTVDD)</t>
  </si>
  <si>
    <t>V1.9.2</t>
  </si>
  <si>
    <t>CLIF_ANA_NFCLD_REG set to 0x1C in boot setting</t>
  </si>
  <si>
    <t>Maniraj Ashirwad G</t>
  </si>
  <si>
    <t>1C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</si>
</sst>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0" fontId="2" fillId="0" borderId="0"/>
  </cellStyleXfs>
  <cellXfs count="75">
    <xf numFmtId="0" fontId="0" fillId="0" borderId="0" xfId="0"/>
    <xf numFmtId="0" fontId="1" fillId="0" borderId="0" xfId="0" applyFont="1" applyFill="1" applyBorder="1" applyAlignment="1" applyProtection="1">
      <alignment horizontal="left" vertical="center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Border="1" applyProtection="1">
      <protection locked="0"/>
    </xf>
    <xf numFmtId="0" fontId="2" fillId="4" borderId="0" xfId="2" applyNumberFormat="1" applyFont="1" applyFill="1" applyBorder="1"/>
    <xf numFmtId="0" fontId="2" fillId="4" borderId="0" xfId="1" applyNumberFormat="1" applyFont="1" applyFill="1" applyBorder="1"/>
    <xf numFmtId="0" fontId="0" fillId="0" borderId="0" xfId="0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2" borderId="0" xfId="0" applyNumberFormat="1" applyFont="1" applyFill="1" applyBorder="1" applyProtection="1"/>
    <xf numFmtId="0" fontId="0" fillId="0" borderId="0" xfId="0" applyNumberFormat="1" applyFont="1" applyFill="1" applyBorder="1" applyProtection="1"/>
    <xf numFmtId="0" fontId="0" fillId="4" borderId="0" xfId="0" applyNumberFormat="1" applyFont="1" applyFill="1" applyBorder="1" applyProtection="1"/>
    <xf numFmtId="0" fontId="0" fillId="3" borderId="0" xfId="0" applyNumberFormat="1" applyFont="1" applyFill="1" applyBorder="1" applyProtection="1">
      <protection locked="0"/>
    </xf>
    <xf numFmtId="0" fontId="0" fillId="2" borderId="0" xfId="0" applyFont="1" applyFill="1" applyBorder="1" applyProtection="1"/>
    <xf numFmtId="0" fontId="0" fillId="4" borderId="0" xfId="0" applyNumberFormat="1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NumberFormat="1" applyFont="1" applyFill="1" applyProtection="1">
      <protection locked="0"/>
    </xf>
    <xf numFmtId="0" fontId="0" fillId="3" borderId="0" xfId="0" applyNumberFormat="1" applyFont="1" applyFill="1" applyProtection="1">
      <protection locked="0"/>
    </xf>
    <xf numFmtId="0" fontId="0" fillId="2" borderId="0" xfId="0" applyFont="1" applyFill="1" applyProtection="1"/>
    <xf numFmtId="0" fontId="0" fillId="0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NumberFormat="1" applyFont="1" applyFill="1" applyProtection="1"/>
    <xf numFmtId="0" fontId="0" fillId="2" borderId="0" xfId="0" applyNumberFormat="1" applyFont="1" applyFill="1" applyProtection="1"/>
    <xf numFmtId="0" fontId="0" fillId="3" borderId="0" xfId="0" applyFont="1" applyFill="1" applyProtection="1">
      <protection locked="0"/>
    </xf>
    <xf numFmtId="0" fontId="6" fillId="0" borderId="0" xfId="0" applyNumberFormat="1" applyFont="1" applyFill="1" applyProtection="1"/>
    <xf numFmtId="0" fontId="0" fillId="0" borderId="0" xfId="0" applyFont="1" applyFill="1" applyProtection="1"/>
    <xf numFmtId="0" fontId="0" fillId="4" borderId="0" xfId="0" applyNumberFormat="1" applyFont="1" applyFill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quotePrefix="1" applyNumberFormat="1" applyFont="1" applyFill="1" applyBorder="1" applyProtection="1">
      <protection locked="0"/>
    </xf>
    <xf numFmtId="0" fontId="0" fillId="0" borderId="0" xfId="0" applyNumberFormat="1" applyFont="1" applyFill="1" applyBorder="1" applyAlignment="1" applyProtection="1"/>
    <xf numFmtId="0" fontId="0" fillId="2" borderId="0" xfId="0" applyNumberFormat="1" applyFont="1" applyFill="1" applyBorder="1" applyAlignment="1" applyProtection="1"/>
    <xf numFmtId="0" fontId="0" fillId="4" borderId="0" xfId="0" applyFont="1" applyFill="1" applyBorder="1" applyProtection="1">
      <protection locked="0"/>
    </xf>
    <xf numFmtId="0" fontId="0" fillId="3" borderId="0" xfId="0" applyFont="1" applyFill="1" applyBorder="1" applyProtection="1">
      <protection locked="0"/>
    </xf>
    <xf numFmtId="0" fontId="0" fillId="0" borderId="0" xfId="0" applyFont="1" applyFill="1" applyBorder="1" applyProtection="1"/>
    <xf numFmtId="0" fontId="0" fillId="0" borderId="0" xfId="0" applyNumberFormat="1" applyFont="1" applyFill="1" applyBorder="1" applyAlignment="1" applyProtection="1">
      <protection locked="0"/>
    </xf>
    <xf numFmtId="0" fontId="0" fillId="3" borderId="0" xfId="0" applyNumberFormat="1" applyFont="1" applyFill="1" applyBorder="1" applyAlignment="1" applyProtection="1">
      <protection locked="0"/>
    </xf>
    <xf numFmtId="11" fontId="0" fillId="0" borderId="0" xfId="0" applyNumberFormat="1" applyFont="1" applyFill="1" applyBorder="1" applyProtection="1">
      <protection locked="0"/>
    </xf>
    <xf numFmtId="0" fontId="1" fillId="0" borderId="0" xfId="0" applyFont="1" applyFill="1" applyBorder="1" applyAlignment="1" applyProtection="1">
      <alignment horizontal="left" vertical="center" wrapText="1"/>
      <protection locked="0"/>
    </xf>
    <xf numFmtId="0" fontId="0" fillId="4" borderId="0" xfId="0" applyFont="1" applyFill="1" applyProtection="1"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0" fillId="3" borderId="0" xfId="0" applyNumberFormat="1" applyFill="1" applyBorder="1" applyProtection="1">
      <protection locked="0"/>
    </xf>
    <xf numFmtId="0" fontId="0" fillId="2" borderId="0" xfId="0" applyNumberFormat="1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0" fillId="6" borderId="0" xfId="0" applyNumberFormat="1" applyFont="1" applyFill="1" applyBorder="1" applyProtection="1">
      <protection locked="0"/>
    </xf>
    <xf numFmtId="0" fontId="0" fillId="7" borderId="0" xfId="0" applyNumberFormat="1" applyFont="1" applyFill="1" applyBorder="1" applyProtection="1">
      <protection locked="0"/>
    </xf>
    <xf numFmtId="0" fontId="0" fillId="5" borderId="0" xfId="0" applyNumberFormat="1" applyFont="1" applyFill="1" applyBorder="1" applyProtection="1"/>
    <xf numFmtId="0" fontId="0" fillId="0" borderId="1" xfId="0" applyBorder="1"/>
    <xf numFmtId="164" fontId="0" fillId="0" borderId="1" xfId="0" applyNumberFormat="1" applyBorder="1" applyAlignment="1">
      <alignment horizontal="left"/>
    </xf>
    <xf numFmtId="0" fontId="8" fillId="0" borderId="1" xfId="0" applyFont="1" applyBorder="1"/>
    <xf numFmtId="10" fontId="0" fillId="0" borderId="1" xfId="0" applyNumberFormat="1" applyBorder="1" applyAlignment="1">
      <alignment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wrapText="1"/>
    </xf>
    <xf numFmtId="10" fontId="0" fillId="0" borderId="1" xfId="0" applyNumberFormat="1" applyBorder="1" applyAlignment="1">
      <alignment horizontal="left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 wrapText="1"/>
    </xf>
    <xf numFmtId="10" fontId="0" fillId="0" borderId="1" xfId="0" applyNumberFormat="1" applyBorder="1" applyAlignment="1">
      <alignment horizontal="left" vertical="center" wrapText="1"/>
    </xf>
    <xf numFmtId="0" fontId="0" fillId="4" borderId="0" xfId="0" applyFont="1" applyFill="1" applyBorder="1" applyProtection="1"/>
    <xf numFmtId="0" fontId="0" fillId="3" borderId="0" xfId="0" applyFont="1" applyFill="1" applyBorder="1" applyProtection="1"/>
    <xf numFmtId="0" fontId="0" fillId="7" borderId="0" xfId="0" applyFill="1" applyBorder="1" applyProtection="1">
      <protection locked="0"/>
    </xf>
    <xf numFmtId="0" fontId="6" fillId="0" borderId="0" xfId="0" applyNumberFormat="1" applyFont="1" applyFill="1" applyBorder="1" applyProtection="1">
      <protection locked="0"/>
    </xf>
    <xf numFmtId="0" fontId="6" fillId="0" borderId="0" xfId="0" applyFont="1" applyFill="1" applyBorder="1" applyProtection="1">
      <protection locked="0"/>
    </xf>
    <xf numFmtId="0" fontId="0" fillId="0" borderId="1" xfId="0" applyBorder="1" applyAlignment="1">
      <alignment vertical="center"/>
    </xf>
    <xf numFmtId="0" fontId="0" fillId="0" borderId="1" xfId="0" applyFill="1" applyBorder="1" applyAlignment="1">
      <alignment horizontal="left" vertical="center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left" vertical="center" wrapText="1"/>
    </xf>
    <xf numFmtId="0" fontId="0" fillId="0" borderId="0" xfId="0" applyFill="1" applyBorder="1" applyAlignment="1" applyProtection="1">
      <alignment horizontal="center"/>
      <protection locked="0"/>
    </xf>
    <xf numFmtId="0" fontId="0" fillId="7" borderId="0" xfId="0" applyFill="1" applyBorder="1" applyAlignment="1" applyProtection="1">
      <alignment vertical="center"/>
      <protection locked="0"/>
    </xf>
    <xf numFmtId="0" fontId="0" fillId="6" borderId="0" xfId="0" applyFill="1"/>
  </cellXfs>
  <cellStyles count="4">
    <cellStyle name="Normal" xfId="0" builtinId="0"/>
    <cellStyle name="Normal 3 3 3 2 3 2 10 2 2" xfId="2"/>
    <cellStyle name="Normal 3 3 3 2 3 2 7 2 2 2" xfId="1"/>
    <cellStyle name="Normal 3 3 3 2 3 2 8 2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2324100</xdr:colOff>
      <xdr:row>0</xdr:row>
      <xdr:rowOff>495300</xdr:rowOff>
    </xdr:to>
    <xdr:sp macro="[0]!ColLockCell" textlink="">
      <xdr:nvSpPr>
        <xdr:cNvPr id="3" name="Rounded Rectangle 2"/>
        <xdr:cNvSpPr/>
      </xdr:nvSpPr>
      <xdr:spPr>
        <a:xfrm>
          <a:off x="38100" y="0"/>
          <a:ext cx="2286000" cy="49530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Cell Lock Colour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54429</xdr:colOff>
      <xdr:row>0</xdr:row>
      <xdr:rowOff>40822</xdr:rowOff>
    </xdr:from>
    <xdr:to>
      <xdr:col>0</xdr:col>
      <xdr:colOff>2360543</xdr:colOff>
      <xdr:row>0</xdr:row>
      <xdr:rowOff>364435</xdr:rowOff>
    </xdr:to>
    <xdr:sp macro="[0]!ColLockCell" textlink="">
      <xdr:nvSpPr>
        <xdr:cNvPr id="2" name="Rounded Rectangle 1"/>
        <xdr:cNvSpPr/>
      </xdr:nvSpPr>
      <xdr:spPr>
        <a:xfrm>
          <a:off x="54429" y="40822"/>
          <a:ext cx="2306114" cy="323613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Cell Lock Colour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P280"/>
  <sheetViews>
    <sheetView zoomScaleNormal="100" workbookViewId="0">
      <pane xSplit="4" ySplit="1" topLeftCell="R2" activePane="bottomRight" state="frozen"/>
      <selection pane="topRight" activeCell="E1" sqref="E1"/>
      <selection pane="bottomLeft" activeCell="A4" sqref="A4"/>
      <selection pane="bottomRight" activeCell="W70" sqref="W70"/>
    </sheetView>
  </sheetViews>
  <sheetFormatPr defaultColWidth="8.88671875" defaultRowHeight="14.4" outlineLevelRow="1" outlineLevelCol="1" x14ac:dyDescent="0.3"/>
  <cols>
    <col min="1" max="1" width="35.6640625" style="7" bestFit="1" customWidth="1"/>
    <col min="2" max="2" width="5.6640625" style="7" bestFit="1" customWidth="1"/>
    <col min="3" max="3" width="5" style="7" bestFit="1" customWidth="1"/>
    <col min="4" max="4" width="37.33203125" style="7" bestFit="1" customWidth="1"/>
    <col min="5" max="5" width="16.33203125" style="10" customWidth="1"/>
    <col min="6" max="7" width="14.33203125" style="11" customWidth="1"/>
    <col min="8" max="8" width="9.109375" style="11" bestFit="1" customWidth="1"/>
    <col min="9" max="9" width="7.33203125" style="11" bestFit="1" customWidth="1"/>
    <col min="10" max="10" width="13.33203125" style="11" customWidth="1" outlineLevel="1"/>
    <col min="11" max="11" width="11.33203125" style="11" customWidth="1" outlineLevel="1"/>
    <col min="12" max="12" width="13.33203125" style="11" customWidth="1" outlineLevel="1"/>
    <col min="13" max="13" width="11.33203125" style="11" customWidth="1" outlineLevel="1"/>
    <col min="14" max="14" width="13.33203125" style="11" customWidth="1" outlineLevel="1"/>
    <col min="15" max="15" width="13.5546875" style="11" customWidth="1" outlineLevel="1"/>
    <col min="16" max="16" width="11.88671875" style="11" customWidth="1" outlineLevel="1"/>
    <col min="17" max="17" width="11" style="11" customWidth="1" outlineLevel="1"/>
    <col min="18" max="18" width="10.5546875" style="11" bestFit="1" customWidth="1"/>
    <col min="19" max="19" width="13.6640625" style="11" customWidth="1"/>
    <col min="20" max="20" width="16.109375" style="11" customWidth="1" outlineLevel="1"/>
    <col min="21" max="21" width="14.44140625" style="11" customWidth="1" outlineLevel="1"/>
    <col min="22" max="22" width="14.6640625" style="11" customWidth="1" outlineLevel="1"/>
    <col min="23" max="23" width="11.5546875" style="11" customWidth="1" outlineLevel="1"/>
    <col min="24" max="25" width="8.88671875" style="10"/>
    <col min="26" max="26" width="15.44140625" style="10" customWidth="1" outlineLevel="1"/>
    <col min="27" max="27" width="15.5546875" style="10" customWidth="1" outlineLevel="1"/>
    <col min="28" max="31" width="15.33203125" style="10" customWidth="1" outlineLevel="1"/>
    <col min="32" max="32" width="13.44140625" style="10" customWidth="1"/>
    <col min="33" max="33" width="11.33203125" style="10" customWidth="1"/>
    <col min="34" max="34" width="11.5546875" style="10" customWidth="1" outlineLevel="1"/>
    <col min="35" max="35" width="13.6640625" style="10" customWidth="1" outlineLevel="1"/>
    <col min="36" max="36" width="14.33203125" style="10" customWidth="1" outlineLevel="1"/>
    <col min="37" max="37" width="15.33203125" style="10" customWidth="1" outlineLevel="1"/>
    <col min="38" max="38" width="11.88671875" style="10" customWidth="1" outlineLevel="1"/>
    <col min="39" max="39" width="14.109375" style="10" customWidth="1" outlineLevel="1"/>
    <col min="40" max="40" width="14.33203125" style="10" customWidth="1" outlineLevel="1"/>
    <col min="41" max="41" width="12.88671875" style="10" customWidth="1" outlineLevel="1"/>
    <col min="42" max="16384" width="8.88671875" style="10"/>
  </cols>
  <sheetData>
    <row r="1" spans="1:42" ht="21.75" customHeight="1" x14ac:dyDescent="0.3">
      <c r="A1" s="13" t="s">
        <v>227</v>
      </c>
      <c r="B1" s="13" t="s">
        <v>228</v>
      </c>
      <c r="C1" s="13" t="s">
        <v>229</v>
      </c>
      <c r="D1" s="13" t="s">
        <v>230</v>
      </c>
      <c r="E1" s="33" t="s">
        <v>231</v>
      </c>
      <c r="F1" s="34" t="s">
        <v>257</v>
      </c>
      <c r="G1" s="34" t="s">
        <v>258</v>
      </c>
      <c r="H1" s="34" t="s">
        <v>259</v>
      </c>
      <c r="I1" s="34" t="s">
        <v>260</v>
      </c>
      <c r="J1" s="34" t="s">
        <v>261</v>
      </c>
      <c r="K1" s="34" t="s">
        <v>262</v>
      </c>
      <c r="L1" s="34" t="s">
        <v>263</v>
      </c>
      <c r="M1" s="34" t="s">
        <v>264</v>
      </c>
      <c r="N1" s="34" t="s">
        <v>265</v>
      </c>
      <c r="O1" s="34" t="s">
        <v>266</v>
      </c>
      <c r="P1" s="34" t="s">
        <v>267</v>
      </c>
      <c r="Q1" s="34" t="s">
        <v>268</v>
      </c>
      <c r="R1" s="34" t="s">
        <v>269</v>
      </c>
      <c r="S1" s="34" t="s">
        <v>270</v>
      </c>
      <c r="T1" s="34" t="s">
        <v>271</v>
      </c>
      <c r="U1" s="34" t="s">
        <v>272</v>
      </c>
      <c r="V1" s="34" t="s">
        <v>273</v>
      </c>
      <c r="W1" s="34" t="s">
        <v>274</v>
      </c>
      <c r="X1" s="33" t="s">
        <v>285</v>
      </c>
      <c r="Y1" s="33" t="s">
        <v>286</v>
      </c>
      <c r="Z1" s="33" t="s">
        <v>287</v>
      </c>
      <c r="AA1" s="33" t="s">
        <v>288</v>
      </c>
      <c r="AB1" s="33" t="s">
        <v>289</v>
      </c>
      <c r="AC1" s="33" t="s">
        <v>290</v>
      </c>
      <c r="AD1" s="33" t="s">
        <v>291</v>
      </c>
      <c r="AE1" s="33" t="s">
        <v>292</v>
      </c>
      <c r="AF1" s="33" t="s">
        <v>275</v>
      </c>
      <c r="AG1" s="33" t="s">
        <v>276</v>
      </c>
      <c r="AH1" s="33" t="s">
        <v>277</v>
      </c>
      <c r="AI1" s="33" t="s">
        <v>278</v>
      </c>
      <c r="AJ1" s="33" t="s">
        <v>279</v>
      </c>
      <c r="AK1" s="33" t="s">
        <v>280</v>
      </c>
      <c r="AL1" s="33" t="s">
        <v>281</v>
      </c>
      <c r="AM1" s="33" t="s">
        <v>282</v>
      </c>
      <c r="AN1" s="33" t="s">
        <v>283</v>
      </c>
      <c r="AO1" s="33" t="s">
        <v>284</v>
      </c>
    </row>
    <row r="2" spans="1:42" collapsed="1" x14ac:dyDescent="0.3">
      <c r="A2" s="1" t="s">
        <v>0</v>
      </c>
      <c r="B2" s="2"/>
      <c r="C2" s="2"/>
      <c r="D2" s="1"/>
      <c r="E2" s="13"/>
      <c r="F2" s="14"/>
      <c r="G2" s="17" t="str">
        <f>BitsTo32Bit(G3:G19)</f>
        <v>* ERROR2 *</v>
      </c>
      <c r="H2" s="14"/>
      <c r="I2" s="14"/>
      <c r="J2" s="35"/>
      <c r="K2" s="20" t="str">
        <f>BitsTo32Bit(K3:K19)</f>
        <v>* ERROR2 *</v>
      </c>
      <c r="L2" s="14"/>
      <c r="M2" s="20" t="str">
        <f>BitsTo32Bit(M3:M19)</f>
        <v>* ERROR2 *</v>
      </c>
      <c r="N2" s="14"/>
      <c r="O2" s="17" t="str">
        <f>BitsTo32Bit(O3:O19)</f>
        <v>* ERROR2 *</v>
      </c>
      <c r="P2" s="14"/>
      <c r="Q2" s="20" t="str">
        <f>BitsTo32Bit(Q3:Q19)</f>
        <v>* ERROR2 *</v>
      </c>
      <c r="R2" s="14"/>
      <c r="S2" s="20" t="str">
        <f>BitsTo32Bit(S3:S19)</f>
        <v>* ERROR2 *</v>
      </c>
      <c r="T2" s="14"/>
      <c r="U2" s="14"/>
      <c r="V2" s="14"/>
      <c r="W2" s="14"/>
      <c r="X2" s="13"/>
      <c r="Y2" s="13"/>
      <c r="Z2" s="13"/>
      <c r="AA2" s="13"/>
      <c r="AB2" s="13"/>
      <c r="AC2" s="13"/>
      <c r="AD2" s="13"/>
      <c r="AE2" s="13"/>
      <c r="AF2" s="13"/>
      <c r="AG2" s="17" t="str">
        <f>BitsTo32Bit(AG3:AG19)</f>
        <v>* ERROR2 *</v>
      </c>
      <c r="AH2" s="13"/>
      <c r="AI2" s="16"/>
      <c r="AJ2" s="13"/>
      <c r="AK2" s="16"/>
      <c r="AL2" s="13"/>
      <c r="AM2" s="16"/>
      <c r="AN2" s="13"/>
      <c r="AO2" s="16"/>
      <c r="AP2" s="7"/>
    </row>
    <row r="3" spans="1:42" hidden="1" outlineLevel="1" x14ac:dyDescent="0.3">
      <c r="A3" s="1"/>
      <c r="B3" s="2">
        <v>31</v>
      </c>
      <c r="C3" s="2">
        <v>19</v>
      </c>
      <c r="D3" s="1" t="s">
        <v>1</v>
      </c>
      <c r="E3" s="13"/>
      <c r="F3" s="14"/>
      <c r="G3" s="15">
        <v>0</v>
      </c>
      <c r="H3" s="14"/>
      <c r="I3" s="14"/>
      <c r="J3" s="14"/>
      <c r="K3" s="48">
        <v>0</v>
      </c>
      <c r="L3" s="14"/>
      <c r="M3" s="48">
        <v>0</v>
      </c>
      <c r="N3" s="14"/>
      <c r="O3" s="15">
        <v>0</v>
      </c>
      <c r="P3" s="14"/>
      <c r="Q3" s="15">
        <v>0</v>
      </c>
      <c r="R3" s="14"/>
      <c r="S3" s="15">
        <v>0</v>
      </c>
      <c r="T3" s="14"/>
      <c r="U3" s="14"/>
      <c r="V3" s="14"/>
      <c r="W3" s="14"/>
      <c r="X3" s="13"/>
      <c r="Y3" s="13"/>
      <c r="Z3" s="13"/>
      <c r="AA3" s="13"/>
      <c r="AB3" s="13"/>
      <c r="AC3" s="13"/>
      <c r="AD3" s="13"/>
      <c r="AE3" s="13"/>
      <c r="AF3" s="13"/>
      <c r="AG3" s="15">
        <v>0</v>
      </c>
      <c r="AH3" s="13"/>
      <c r="AI3" s="16"/>
      <c r="AJ3" s="13"/>
      <c r="AK3" s="16"/>
      <c r="AL3" s="13"/>
      <c r="AM3" s="16"/>
      <c r="AN3" s="13"/>
      <c r="AO3" s="16"/>
      <c r="AP3" s="7"/>
    </row>
    <row r="4" spans="1:42" hidden="1" outlineLevel="1" x14ac:dyDescent="0.3">
      <c r="A4" s="1"/>
      <c r="B4" s="2">
        <v>18</v>
      </c>
      <c r="C4" s="2">
        <v>18</v>
      </c>
      <c r="D4" s="1" t="s">
        <v>2</v>
      </c>
      <c r="E4" s="13"/>
      <c r="F4" s="14"/>
      <c r="G4" s="37">
        <v>0</v>
      </c>
      <c r="H4" s="14"/>
      <c r="I4" s="14"/>
      <c r="J4" s="14"/>
      <c r="K4" s="42">
        <v>0</v>
      </c>
      <c r="L4" s="14"/>
      <c r="M4" s="42">
        <v>0</v>
      </c>
      <c r="N4" s="14"/>
      <c r="O4" s="37">
        <v>0</v>
      </c>
      <c r="P4" s="14"/>
      <c r="Q4" s="37">
        <v>0</v>
      </c>
      <c r="R4" s="14"/>
      <c r="S4" s="37">
        <v>0</v>
      </c>
      <c r="T4" s="14"/>
      <c r="U4" s="14"/>
      <c r="V4" s="14"/>
      <c r="W4" s="14"/>
      <c r="X4" s="13"/>
      <c r="Y4" s="13"/>
      <c r="Z4" s="13"/>
      <c r="AA4" s="13"/>
      <c r="AB4" s="13"/>
      <c r="AC4" s="13"/>
      <c r="AD4" s="13"/>
      <c r="AE4" s="13"/>
      <c r="AF4" s="13"/>
      <c r="AG4" s="37">
        <v>0</v>
      </c>
      <c r="AH4" s="13"/>
      <c r="AI4" s="36"/>
      <c r="AJ4" s="13"/>
      <c r="AK4" s="36"/>
      <c r="AL4" s="13"/>
      <c r="AM4" s="36"/>
      <c r="AN4" s="13"/>
      <c r="AO4" s="36"/>
      <c r="AP4" s="7"/>
    </row>
    <row r="5" spans="1:42" hidden="1" outlineLevel="1" x14ac:dyDescent="0.3">
      <c r="A5" s="1"/>
      <c r="B5" s="2">
        <v>17</v>
      </c>
      <c r="C5" s="2">
        <v>17</v>
      </c>
      <c r="D5" s="1" t="s">
        <v>3</v>
      </c>
      <c r="E5" s="13"/>
      <c r="F5" s="14"/>
      <c r="G5" s="37">
        <v>1</v>
      </c>
      <c r="H5" s="14"/>
      <c r="I5" s="14"/>
      <c r="J5" s="14"/>
      <c r="K5" s="42">
        <v>1</v>
      </c>
      <c r="L5" s="14"/>
      <c r="M5" s="42">
        <v>1</v>
      </c>
      <c r="N5" s="14"/>
      <c r="O5" s="37">
        <v>1</v>
      </c>
      <c r="P5" s="14"/>
      <c r="Q5" s="37">
        <v>1</v>
      </c>
      <c r="R5" s="14"/>
      <c r="S5" s="37">
        <v>1</v>
      </c>
      <c r="T5" s="14"/>
      <c r="U5" s="14"/>
      <c r="V5" s="14"/>
      <c r="W5" s="14"/>
      <c r="X5" s="13"/>
      <c r="Y5" s="13"/>
      <c r="Z5" s="13"/>
      <c r="AA5" s="13"/>
      <c r="AB5" s="13"/>
      <c r="AC5" s="13"/>
      <c r="AD5" s="13"/>
      <c r="AE5" s="13"/>
      <c r="AF5" s="13"/>
      <c r="AG5" s="37">
        <v>1</v>
      </c>
      <c r="AH5" s="13"/>
      <c r="AI5" s="36"/>
      <c r="AJ5" s="13"/>
      <c r="AK5" s="36"/>
      <c r="AL5" s="13"/>
      <c r="AM5" s="36"/>
      <c r="AN5" s="13"/>
      <c r="AO5" s="36"/>
      <c r="AP5" s="7"/>
    </row>
    <row r="6" spans="1:42" hidden="1" outlineLevel="1" x14ac:dyDescent="0.3">
      <c r="A6" s="1"/>
      <c r="B6" s="2">
        <v>16</v>
      </c>
      <c r="C6" s="2">
        <v>16</v>
      </c>
      <c r="D6" s="1" t="s">
        <v>4</v>
      </c>
      <c r="E6" s="13"/>
      <c r="F6" s="14"/>
      <c r="G6" s="37">
        <v>1</v>
      </c>
      <c r="H6" s="14"/>
      <c r="I6" s="14"/>
      <c r="J6" s="14"/>
      <c r="K6" s="42">
        <v>1</v>
      </c>
      <c r="L6" s="14"/>
      <c r="M6" s="42">
        <v>1</v>
      </c>
      <c r="N6" s="14"/>
      <c r="O6" s="37">
        <v>1</v>
      </c>
      <c r="P6" s="14"/>
      <c r="Q6" s="37">
        <v>1</v>
      </c>
      <c r="R6" s="14"/>
      <c r="S6" s="37">
        <v>1</v>
      </c>
      <c r="T6" s="14"/>
      <c r="U6" s="14"/>
      <c r="V6" s="14"/>
      <c r="W6" s="14"/>
      <c r="X6" s="13"/>
      <c r="Y6" s="13"/>
      <c r="Z6" s="13"/>
      <c r="AA6" s="13"/>
      <c r="AB6" s="13"/>
      <c r="AC6" s="13"/>
      <c r="AD6" s="13"/>
      <c r="AE6" s="13"/>
      <c r="AF6" s="13"/>
      <c r="AG6" s="37">
        <v>1</v>
      </c>
      <c r="AH6" s="13"/>
      <c r="AI6" s="36"/>
      <c r="AJ6" s="13"/>
      <c r="AK6" s="36"/>
      <c r="AL6" s="13"/>
      <c r="AM6" s="36"/>
      <c r="AN6" s="13"/>
      <c r="AO6" s="36"/>
      <c r="AP6" s="7"/>
    </row>
    <row r="7" spans="1:42" hidden="1" outlineLevel="1" x14ac:dyDescent="0.3">
      <c r="A7" s="1"/>
      <c r="B7" s="2">
        <v>15</v>
      </c>
      <c r="C7" s="2">
        <v>15</v>
      </c>
      <c r="D7" s="1" t="s">
        <v>5</v>
      </c>
      <c r="E7" s="13"/>
      <c r="F7" s="14"/>
      <c r="G7" s="37">
        <v>1</v>
      </c>
      <c r="H7" s="14"/>
      <c r="I7" s="14"/>
      <c r="J7" s="14"/>
      <c r="K7" s="42">
        <v>1</v>
      </c>
      <c r="L7" s="14"/>
      <c r="M7" s="42">
        <v>1</v>
      </c>
      <c r="N7" s="14"/>
      <c r="O7" s="37">
        <v>1</v>
      </c>
      <c r="P7" s="14"/>
      <c r="Q7" s="37">
        <v>1</v>
      </c>
      <c r="R7" s="14"/>
      <c r="S7" s="37">
        <v>1</v>
      </c>
      <c r="T7" s="14"/>
      <c r="U7" s="14"/>
      <c r="V7" s="14"/>
      <c r="W7" s="14"/>
      <c r="X7" s="13"/>
      <c r="Y7" s="13"/>
      <c r="Z7" s="13"/>
      <c r="AA7" s="13"/>
      <c r="AB7" s="13"/>
      <c r="AC7" s="13"/>
      <c r="AD7" s="13"/>
      <c r="AE7" s="13"/>
      <c r="AF7" s="13"/>
      <c r="AG7" s="37">
        <v>1</v>
      </c>
      <c r="AH7" s="13"/>
      <c r="AI7" s="36"/>
      <c r="AJ7" s="13"/>
      <c r="AK7" s="36"/>
      <c r="AL7" s="13"/>
      <c r="AM7" s="36"/>
      <c r="AN7" s="13"/>
      <c r="AO7" s="36"/>
      <c r="AP7" s="7"/>
    </row>
    <row r="8" spans="1:42" hidden="1" outlineLevel="1" x14ac:dyDescent="0.3">
      <c r="A8" s="1"/>
      <c r="B8" s="2">
        <v>14</v>
      </c>
      <c r="C8" s="2">
        <v>14</v>
      </c>
      <c r="D8" s="1" t="s">
        <v>6</v>
      </c>
      <c r="E8" s="13"/>
      <c r="F8" s="14"/>
      <c r="G8" s="15">
        <v>0</v>
      </c>
      <c r="H8" s="14"/>
      <c r="I8" s="14"/>
      <c r="J8" s="14"/>
      <c r="K8" s="18">
        <v>0</v>
      </c>
      <c r="L8" s="14"/>
      <c r="M8" s="18">
        <v>0</v>
      </c>
      <c r="N8" s="14"/>
      <c r="O8" s="15">
        <v>0</v>
      </c>
      <c r="P8" s="14"/>
      <c r="Q8" s="15">
        <v>0</v>
      </c>
      <c r="R8" s="14"/>
      <c r="S8" s="15">
        <v>0</v>
      </c>
      <c r="T8" s="14"/>
      <c r="U8" s="14"/>
      <c r="V8" s="14"/>
      <c r="W8" s="14"/>
      <c r="X8" s="13"/>
      <c r="Y8" s="13"/>
      <c r="Z8" s="13"/>
      <c r="AA8" s="13"/>
      <c r="AB8" s="13"/>
      <c r="AC8" s="13"/>
      <c r="AD8" s="13"/>
      <c r="AE8" s="13"/>
      <c r="AF8" s="13"/>
      <c r="AG8" s="15">
        <v>0</v>
      </c>
      <c r="AH8" s="13"/>
      <c r="AI8" s="16"/>
      <c r="AJ8" s="13"/>
      <c r="AK8" s="16"/>
      <c r="AL8" s="13"/>
      <c r="AM8" s="16"/>
      <c r="AN8" s="13"/>
      <c r="AO8" s="16"/>
      <c r="AP8" s="7"/>
    </row>
    <row r="9" spans="1:42" hidden="1" outlineLevel="1" x14ac:dyDescent="0.3">
      <c r="A9" s="1"/>
      <c r="B9" s="2">
        <v>13</v>
      </c>
      <c r="C9" s="2">
        <v>13</v>
      </c>
      <c r="D9" s="1" t="s">
        <v>7</v>
      </c>
      <c r="E9" s="13"/>
      <c r="F9" s="14"/>
      <c r="G9" s="15">
        <v>0</v>
      </c>
      <c r="H9" s="14"/>
      <c r="I9" s="14"/>
      <c r="J9" s="14"/>
      <c r="K9" s="18">
        <v>0</v>
      </c>
      <c r="L9" s="14"/>
      <c r="M9" s="18">
        <v>0</v>
      </c>
      <c r="N9" s="14"/>
      <c r="O9" s="15">
        <v>0</v>
      </c>
      <c r="P9" s="14"/>
      <c r="Q9" s="15">
        <v>0</v>
      </c>
      <c r="R9" s="14"/>
      <c r="S9" s="15">
        <v>0</v>
      </c>
      <c r="T9" s="14"/>
      <c r="U9" s="14"/>
      <c r="V9" s="14"/>
      <c r="W9" s="14"/>
      <c r="X9" s="13"/>
      <c r="Y9" s="13"/>
      <c r="Z9" s="13"/>
      <c r="AA9" s="13"/>
      <c r="AB9" s="13"/>
      <c r="AC9" s="13"/>
      <c r="AD9" s="13"/>
      <c r="AE9" s="13"/>
      <c r="AF9" s="13"/>
      <c r="AG9" s="15">
        <v>0</v>
      </c>
      <c r="AH9" s="13"/>
      <c r="AI9" s="16"/>
      <c r="AJ9" s="13"/>
      <c r="AK9" s="16"/>
      <c r="AL9" s="13"/>
      <c r="AM9" s="16"/>
      <c r="AN9" s="13"/>
      <c r="AO9" s="16"/>
      <c r="AP9" s="7"/>
    </row>
    <row r="10" spans="1:42" hidden="1" outlineLevel="1" x14ac:dyDescent="0.3">
      <c r="A10" s="1"/>
      <c r="B10" s="2">
        <v>12</v>
      </c>
      <c r="C10" s="2">
        <v>12</v>
      </c>
      <c r="D10" s="1" t="s">
        <v>8</v>
      </c>
      <c r="E10" s="13"/>
      <c r="F10" s="14"/>
      <c r="G10" s="15">
        <v>1</v>
      </c>
      <c r="H10" s="14"/>
      <c r="I10" s="14"/>
      <c r="J10" s="14"/>
      <c r="K10" s="18">
        <v>1</v>
      </c>
      <c r="L10" s="14"/>
      <c r="M10" s="18">
        <v>1</v>
      </c>
      <c r="N10" s="14"/>
      <c r="O10" s="15">
        <v>1</v>
      </c>
      <c r="P10" s="14"/>
      <c r="Q10" s="15">
        <v>1</v>
      </c>
      <c r="R10" s="14"/>
      <c r="S10" s="15">
        <v>1</v>
      </c>
      <c r="T10" s="14"/>
      <c r="U10" s="14"/>
      <c r="V10" s="14"/>
      <c r="W10" s="14"/>
      <c r="X10" s="13"/>
      <c r="Y10" s="13"/>
      <c r="Z10" s="13"/>
      <c r="AA10" s="13"/>
      <c r="AB10" s="13"/>
      <c r="AC10" s="13"/>
      <c r="AD10" s="13"/>
      <c r="AE10" s="13"/>
      <c r="AF10" s="13"/>
      <c r="AG10" s="15">
        <v>1</v>
      </c>
      <c r="AH10" s="13"/>
      <c r="AI10" s="16"/>
      <c r="AJ10" s="13"/>
      <c r="AK10" s="16"/>
      <c r="AL10" s="13"/>
      <c r="AM10" s="16"/>
      <c r="AN10" s="13"/>
      <c r="AO10" s="16"/>
      <c r="AP10" s="7"/>
    </row>
    <row r="11" spans="1:42" hidden="1" outlineLevel="1" x14ac:dyDescent="0.3">
      <c r="A11" s="1"/>
      <c r="B11" s="2">
        <v>11</v>
      </c>
      <c r="C11" s="2">
        <v>11</v>
      </c>
      <c r="D11" s="1" t="s">
        <v>9</v>
      </c>
      <c r="E11" s="13"/>
      <c r="F11" s="14"/>
      <c r="G11" s="15">
        <v>0</v>
      </c>
      <c r="H11" s="14"/>
      <c r="I11" s="14"/>
      <c r="J11" s="14"/>
      <c r="K11" s="18">
        <v>0</v>
      </c>
      <c r="L11" s="14"/>
      <c r="M11" s="18">
        <v>0</v>
      </c>
      <c r="N11" s="14"/>
      <c r="O11" s="15">
        <v>0</v>
      </c>
      <c r="P11" s="14"/>
      <c r="Q11" s="15">
        <v>0</v>
      </c>
      <c r="R11" s="14"/>
      <c r="S11" s="15">
        <v>0</v>
      </c>
      <c r="T11" s="14"/>
      <c r="U11" s="14"/>
      <c r="V11" s="14"/>
      <c r="W11" s="14"/>
      <c r="X11" s="13"/>
      <c r="Y11" s="13"/>
      <c r="Z11" s="13"/>
      <c r="AA11" s="13"/>
      <c r="AB11" s="13"/>
      <c r="AC11" s="13"/>
      <c r="AD11" s="13"/>
      <c r="AE11" s="13"/>
      <c r="AF11" s="13"/>
      <c r="AG11" s="15">
        <v>0</v>
      </c>
      <c r="AH11" s="13"/>
      <c r="AI11" s="16"/>
      <c r="AJ11" s="13"/>
      <c r="AK11" s="16"/>
      <c r="AL11" s="13"/>
      <c r="AM11" s="16"/>
      <c r="AN11" s="13"/>
      <c r="AO11" s="16"/>
      <c r="AP11" s="7"/>
    </row>
    <row r="12" spans="1:42" hidden="1" outlineLevel="1" x14ac:dyDescent="0.3">
      <c r="A12" s="1"/>
      <c r="B12" s="2">
        <v>10</v>
      </c>
      <c r="C12" s="2">
        <v>10</v>
      </c>
      <c r="D12" s="1" t="s">
        <v>10</v>
      </c>
      <c r="E12" s="13"/>
      <c r="F12" s="14"/>
      <c r="G12" s="15">
        <v>0</v>
      </c>
      <c r="H12" s="14"/>
      <c r="I12" s="14"/>
      <c r="J12" s="14"/>
      <c r="K12" s="18">
        <v>0</v>
      </c>
      <c r="L12" s="14"/>
      <c r="M12" s="18">
        <v>0</v>
      </c>
      <c r="N12" s="14"/>
      <c r="O12" s="15">
        <v>0</v>
      </c>
      <c r="P12" s="14"/>
      <c r="Q12" s="15">
        <v>0</v>
      </c>
      <c r="R12" s="14"/>
      <c r="S12" s="15">
        <v>0</v>
      </c>
      <c r="T12" s="14"/>
      <c r="U12" s="14"/>
      <c r="V12" s="14"/>
      <c r="W12" s="14"/>
      <c r="X12" s="13"/>
      <c r="Y12" s="13"/>
      <c r="Z12" s="13"/>
      <c r="AA12" s="13"/>
      <c r="AB12" s="13"/>
      <c r="AC12" s="13"/>
      <c r="AD12" s="13"/>
      <c r="AE12" s="13"/>
      <c r="AF12" s="13"/>
      <c r="AG12" s="15">
        <v>0</v>
      </c>
      <c r="AH12" s="13"/>
      <c r="AI12" s="16"/>
      <c r="AJ12" s="13"/>
      <c r="AK12" s="16"/>
      <c r="AL12" s="13"/>
      <c r="AM12" s="16"/>
      <c r="AN12" s="13"/>
      <c r="AO12" s="16"/>
      <c r="AP12" s="7"/>
    </row>
    <row r="13" spans="1:42" hidden="1" outlineLevel="1" x14ac:dyDescent="0.3">
      <c r="A13" s="1"/>
      <c r="B13" s="2">
        <v>9</v>
      </c>
      <c r="C13" s="2">
        <v>8</v>
      </c>
      <c r="D13" s="1" t="s">
        <v>11</v>
      </c>
      <c r="E13" s="13"/>
      <c r="F13" s="14"/>
      <c r="G13" s="15">
        <v>0</v>
      </c>
      <c r="H13" s="14"/>
      <c r="I13" s="14"/>
      <c r="J13" s="14"/>
      <c r="K13" s="18">
        <v>0</v>
      </c>
      <c r="L13" s="14"/>
      <c r="M13" s="18">
        <v>0</v>
      </c>
      <c r="N13" s="14"/>
      <c r="O13" s="15">
        <v>0</v>
      </c>
      <c r="P13" s="14"/>
      <c r="Q13" s="15">
        <v>0</v>
      </c>
      <c r="R13" s="14"/>
      <c r="S13" s="15">
        <v>0</v>
      </c>
      <c r="T13" s="14"/>
      <c r="U13" s="14"/>
      <c r="V13" s="14"/>
      <c r="W13" s="14"/>
      <c r="X13" s="13"/>
      <c r="Y13" s="13"/>
      <c r="Z13" s="13"/>
      <c r="AA13" s="13"/>
      <c r="AB13" s="13"/>
      <c r="AC13" s="13"/>
      <c r="AD13" s="13"/>
      <c r="AE13" s="13"/>
      <c r="AF13" s="13"/>
      <c r="AG13" s="15">
        <v>0</v>
      </c>
      <c r="AH13" s="13"/>
      <c r="AI13" s="16"/>
      <c r="AJ13" s="13"/>
      <c r="AK13" s="16"/>
      <c r="AL13" s="13"/>
      <c r="AM13" s="16"/>
      <c r="AN13" s="13"/>
      <c r="AO13" s="16"/>
      <c r="AP13" s="7"/>
    </row>
    <row r="14" spans="1:42" hidden="1" outlineLevel="1" x14ac:dyDescent="0.3">
      <c r="A14" s="1"/>
      <c r="B14" s="2">
        <v>7</v>
      </c>
      <c r="C14" s="2">
        <v>7</v>
      </c>
      <c r="D14" s="1" t="s">
        <v>12</v>
      </c>
      <c r="E14" s="13"/>
      <c r="F14" s="14"/>
      <c r="G14" s="15">
        <v>1</v>
      </c>
      <c r="H14" s="14"/>
      <c r="I14" s="14"/>
      <c r="J14" s="14"/>
      <c r="K14" s="18">
        <v>1</v>
      </c>
      <c r="L14" s="14"/>
      <c r="M14" s="18">
        <v>1</v>
      </c>
      <c r="N14" s="14"/>
      <c r="O14" s="15">
        <v>1</v>
      </c>
      <c r="P14" s="14"/>
      <c r="Q14" s="15">
        <v>1</v>
      </c>
      <c r="R14" s="14"/>
      <c r="S14" s="15">
        <v>1</v>
      </c>
      <c r="T14" s="14"/>
      <c r="U14" s="14"/>
      <c r="V14" s="14"/>
      <c r="W14" s="14"/>
      <c r="X14" s="13"/>
      <c r="Y14" s="13"/>
      <c r="Z14" s="13"/>
      <c r="AA14" s="13"/>
      <c r="AB14" s="13"/>
      <c r="AC14" s="13"/>
      <c r="AD14" s="13"/>
      <c r="AE14" s="13"/>
      <c r="AF14" s="13"/>
      <c r="AG14" s="15">
        <v>1</v>
      </c>
      <c r="AH14" s="13"/>
      <c r="AI14" s="16"/>
      <c r="AJ14" s="13"/>
      <c r="AK14" s="16"/>
      <c r="AL14" s="13"/>
      <c r="AM14" s="16"/>
      <c r="AN14" s="13"/>
      <c r="AO14" s="16"/>
      <c r="AP14" s="7"/>
    </row>
    <row r="15" spans="1:42" hidden="1" outlineLevel="1" x14ac:dyDescent="0.3">
      <c r="A15" s="1"/>
      <c r="B15" s="2">
        <v>6</v>
      </c>
      <c r="C15" s="2">
        <v>6</v>
      </c>
      <c r="D15" s="1" t="s">
        <v>13</v>
      </c>
      <c r="E15" s="13"/>
      <c r="F15" s="14"/>
      <c r="G15" s="15">
        <v>0</v>
      </c>
      <c r="H15" s="14"/>
      <c r="I15" s="14"/>
      <c r="J15" s="14"/>
      <c r="K15" s="18">
        <v>0</v>
      </c>
      <c r="L15" s="14"/>
      <c r="M15" s="18">
        <v>0</v>
      </c>
      <c r="N15" s="14"/>
      <c r="O15" s="15">
        <v>0</v>
      </c>
      <c r="P15" s="14"/>
      <c r="Q15" s="15">
        <v>0</v>
      </c>
      <c r="R15" s="14"/>
      <c r="S15" s="15">
        <v>0</v>
      </c>
      <c r="T15" s="14"/>
      <c r="U15" s="14"/>
      <c r="V15" s="14"/>
      <c r="W15" s="14"/>
      <c r="X15" s="13"/>
      <c r="Y15" s="13"/>
      <c r="Z15" s="13"/>
      <c r="AA15" s="13"/>
      <c r="AB15" s="13"/>
      <c r="AC15" s="13"/>
      <c r="AD15" s="13"/>
      <c r="AE15" s="13"/>
      <c r="AF15" s="13"/>
      <c r="AG15" s="15">
        <v>0</v>
      </c>
      <c r="AH15" s="13"/>
      <c r="AI15" s="16"/>
      <c r="AJ15" s="13"/>
      <c r="AK15" s="16"/>
      <c r="AL15" s="13"/>
      <c r="AM15" s="16"/>
      <c r="AN15" s="13"/>
      <c r="AO15" s="16"/>
      <c r="AP15" s="7"/>
    </row>
    <row r="16" spans="1:42" hidden="1" outlineLevel="1" x14ac:dyDescent="0.3">
      <c r="A16" s="1"/>
      <c r="B16" s="2">
        <v>5</v>
      </c>
      <c r="C16" s="2">
        <v>5</v>
      </c>
      <c r="D16" s="1" t="s">
        <v>14</v>
      </c>
      <c r="E16" s="13"/>
      <c r="F16" s="14"/>
      <c r="G16" s="15">
        <v>1</v>
      </c>
      <c r="H16" s="14"/>
      <c r="I16" s="14"/>
      <c r="J16" s="14"/>
      <c r="K16" s="18">
        <v>1</v>
      </c>
      <c r="L16" s="14"/>
      <c r="M16" s="18">
        <v>1</v>
      </c>
      <c r="N16" s="14"/>
      <c r="O16" s="15">
        <v>1</v>
      </c>
      <c r="P16" s="14"/>
      <c r="Q16" s="15">
        <v>1</v>
      </c>
      <c r="R16" s="14"/>
      <c r="S16" s="15">
        <v>1</v>
      </c>
      <c r="T16" s="14"/>
      <c r="U16" s="14"/>
      <c r="V16" s="14"/>
      <c r="W16" s="14"/>
      <c r="X16" s="13"/>
      <c r="Y16" s="13"/>
      <c r="Z16" s="13"/>
      <c r="AA16" s="13"/>
      <c r="AB16" s="13"/>
      <c r="AC16" s="13"/>
      <c r="AD16" s="13"/>
      <c r="AE16" s="13"/>
      <c r="AF16" s="13"/>
      <c r="AG16" s="15">
        <v>1</v>
      </c>
      <c r="AH16" s="13"/>
      <c r="AI16" s="16"/>
      <c r="AJ16" s="13"/>
      <c r="AK16" s="16"/>
      <c r="AL16" s="13"/>
      <c r="AM16" s="16"/>
      <c r="AN16" s="13"/>
      <c r="AO16" s="16"/>
      <c r="AP16" s="7"/>
    </row>
    <row r="17" spans="1:42" hidden="1" outlineLevel="1" x14ac:dyDescent="0.3">
      <c r="A17" s="1"/>
      <c r="B17" s="2">
        <v>4</v>
      </c>
      <c r="C17" s="2">
        <v>4</v>
      </c>
      <c r="D17" s="1" t="s">
        <v>15</v>
      </c>
      <c r="E17" s="13"/>
      <c r="F17" s="14"/>
      <c r="G17" s="15">
        <v>0</v>
      </c>
      <c r="H17" s="14"/>
      <c r="I17" s="14"/>
      <c r="J17" s="14"/>
      <c r="K17" s="18">
        <v>0</v>
      </c>
      <c r="L17" s="14"/>
      <c r="M17" s="18">
        <v>0</v>
      </c>
      <c r="N17" s="14"/>
      <c r="O17" s="15">
        <v>0</v>
      </c>
      <c r="P17" s="14"/>
      <c r="Q17" s="15">
        <v>0</v>
      </c>
      <c r="R17" s="14"/>
      <c r="S17" s="15">
        <v>0</v>
      </c>
      <c r="T17" s="14"/>
      <c r="U17" s="14"/>
      <c r="V17" s="14"/>
      <c r="W17" s="14"/>
      <c r="X17" s="13"/>
      <c r="Y17" s="13"/>
      <c r="Z17" s="13"/>
      <c r="AA17" s="13"/>
      <c r="AB17" s="13"/>
      <c r="AC17" s="13"/>
      <c r="AD17" s="13"/>
      <c r="AE17" s="13"/>
      <c r="AF17" s="13"/>
      <c r="AG17" s="15">
        <v>0</v>
      </c>
      <c r="AH17" s="13"/>
      <c r="AI17" s="16"/>
      <c r="AJ17" s="13"/>
      <c r="AK17" s="16"/>
      <c r="AL17" s="13"/>
      <c r="AM17" s="16"/>
      <c r="AN17" s="13"/>
      <c r="AO17" s="16"/>
      <c r="AP17" s="7"/>
    </row>
    <row r="18" spans="1:42" hidden="1" outlineLevel="1" x14ac:dyDescent="0.3">
      <c r="A18" s="1"/>
      <c r="B18" s="2">
        <v>3</v>
      </c>
      <c r="C18" s="2">
        <v>2</v>
      </c>
      <c r="D18" s="1" t="s">
        <v>16</v>
      </c>
      <c r="E18" s="13"/>
      <c r="F18" s="14"/>
      <c r="G18" s="18">
        <v>0</v>
      </c>
      <c r="H18" s="14"/>
      <c r="I18" s="14"/>
      <c r="J18" s="14"/>
      <c r="K18" s="18">
        <v>0</v>
      </c>
      <c r="L18" s="14"/>
      <c r="M18" s="18">
        <v>0</v>
      </c>
      <c r="N18" s="14"/>
      <c r="O18" s="18">
        <v>0</v>
      </c>
      <c r="P18" s="14"/>
      <c r="Q18" s="18">
        <v>3</v>
      </c>
      <c r="R18" s="14"/>
      <c r="S18" s="18">
        <v>0</v>
      </c>
      <c r="T18" s="14"/>
      <c r="U18" s="14"/>
      <c r="V18" s="14"/>
      <c r="W18" s="14"/>
      <c r="X18" s="13"/>
      <c r="Y18" s="13"/>
      <c r="Z18" s="13"/>
      <c r="AA18" s="13"/>
      <c r="AB18" s="13"/>
      <c r="AC18" s="13"/>
      <c r="AD18" s="13"/>
      <c r="AE18" s="13"/>
      <c r="AF18" s="13"/>
      <c r="AG18" s="18">
        <v>0</v>
      </c>
      <c r="AH18" s="13"/>
      <c r="AI18" s="14"/>
      <c r="AJ18" s="13"/>
      <c r="AK18" s="14"/>
      <c r="AL18" s="13"/>
      <c r="AM18" s="14"/>
      <c r="AN18" s="13"/>
      <c r="AO18" s="14"/>
      <c r="AP18" s="7"/>
    </row>
    <row r="19" spans="1:42" hidden="1" outlineLevel="1" x14ac:dyDescent="0.3">
      <c r="A19" s="1"/>
      <c r="B19" s="2">
        <v>1</v>
      </c>
      <c r="C19" s="2">
        <v>0</v>
      </c>
      <c r="D19" s="1" t="s">
        <v>17</v>
      </c>
      <c r="E19" s="13"/>
      <c r="F19" s="14"/>
      <c r="G19" s="18">
        <v>3</v>
      </c>
      <c r="H19" s="14"/>
      <c r="I19" s="14"/>
      <c r="J19" s="14"/>
      <c r="K19" s="18">
        <v>3</v>
      </c>
      <c r="L19" s="14"/>
      <c r="M19" s="18">
        <v>3</v>
      </c>
      <c r="N19" s="14"/>
      <c r="O19" s="18">
        <v>3</v>
      </c>
      <c r="P19" s="14"/>
      <c r="Q19" s="18">
        <v>3</v>
      </c>
      <c r="R19" s="14"/>
      <c r="S19" s="18">
        <v>3</v>
      </c>
      <c r="T19" s="14"/>
      <c r="U19" s="14"/>
      <c r="V19" s="14"/>
      <c r="W19" s="14"/>
      <c r="X19" s="13"/>
      <c r="Y19" s="13"/>
      <c r="Z19" s="13"/>
      <c r="AA19" s="13"/>
      <c r="AB19" s="13"/>
      <c r="AC19" s="13"/>
      <c r="AD19" s="13"/>
      <c r="AE19" s="13"/>
      <c r="AF19" s="13"/>
      <c r="AG19" s="18">
        <v>3</v>
      </c>
      <c r="AH19" s="13"/>
      <c r="AI19" s="14"/>
      <c r="AJ19" s="13"/>
      <c r="AK19" s="14"/>
      <c r="AL19" s="13"/>
      <c r="AM19" s="14"/>
      <c r="AN19" s="13"/>
      <c r="AO19" s="14"/>
      <c r="AP19" s="7"/>
    </row>
    <row r="20" spans="1:42" collapsed="1" x14ac:dyDescent="0.3">
      <c r="A20" s="1" t="s">
        <v>343</v>
      </c>
      <c r="B20" s="2"/>
      <c r="C20" s="2"/>
      <c r="D20" s="1"/>
      <c r="E20" s="13"/>
      <c r="F20" s="14"/>
      <c r="G20" s="20" t="str">
        <f>BitsTo32Bit(G21:G24)</f>
        <v>* ERROR2 *</v>
      </c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7"/>
    </row>
    <row r="21" spans="1:42" hidden="1" outlineLevel="1" x14ac:dyDescent="0.3">
      <c r="A21" s="1"/>
      <c r="B21" s="2">
        <v>31</v>
      </c>
      <c r="C21" s="2">
        <v>4</v>
      </c>
      <c r="D21" s="5" t="s">
        <v>1</v>
      </c>
      <c r="E21" s="13"/>
      <c r="F21" s="14"/>
      <c r="G21" s="18">
        <v>0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7"/>
    </row>
    <row r="22" spans="1:42" hidden="1" outlineLevel="1" x14ac:dyDescent="0.3">
      <c r="A22" s="1"/>
      <c r="B22" s="2">
        <v>3</v>
      </c>
      <c r="C22" s="2">
        <v>3</v>
      </c>
      <c r="D22" s="5" t="s">
        <v>344</v>
      </c>
      <c r="E22" s="13"/>
      <c r="F22" s="14"/>
      <c r="G22" s="18">
        <v>0</v>
      </c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7"/>
    </row>
    <row r="23" spans="1:42" hidden="1" outlineLevel="1" x14ac:dyDescent="0.3">
      <c r="A23" s="1"/>
      <c r="B23" s="2">
        <v>2</v>
      </c>
      <c r="C23" s="2">
        <v>2</v>
      </c>
      <c r="D23" s="5" t="s">
        <v>345</v>
      </c>
      <c r="E23" s="13"/>
      <c r="F23" s="14"/>
      <c r="G23" s="18">
        <v>0</v>
      </c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7"/>
    </row>
    <row r="24" spans="1:42" hidden="1" outlineLevel="1" x14ac:dyDescent="0.3">
      <c r="A24" s="1"/>
      <c r="B24" s="2">
        <v>1</v>
      </c>
      <c r="C24" s="2">
        <v>0</v>
      </c>
      <c r="D24" s="5" t="s">
        <v>346</v>
      </c>
      <c r="E24" s="13"/>
      <c r="F24" s="14"/>
      <c r="G24" s="18">
        <v>2</v>
      </c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7"/>
    </row>
    <row r="25" spans="1:42" collapsed="1" x14ac:dyDescent="0.3">
      <c r="A25" s="1" t="s">
        <v>28</v>
      </c>
      <c r="B25" s="2"/>
      <c r="C25" s="2"/>
      <c r="D25" s="1"/>
      <c r="E25" s="13"/>
      <c r="F25" s="14"/>
      <c r="G25" s="17" t="str">
        <f>BitsTo32Bit(G26:G41)</f>
        <v>* ERROR2 *</v>
      </c>
      <c r="H25" s="14"/>
      <c r="I25" s="14"/>
      <c r="J25" s="14"/>
      <c r="K25" s="20" t="str">
        <f>BitsTo32Bit(K26:K41)</f>
        <v>* ERROR2 *</v>
      </c>
      <c r="L25" s="14"/>
      <c r="M25" s="20" t="str">
        <f>BitsTo32Bit(M26:M41)</f>
        <v>* ERROR2 *</v>
      </c>
      <c r="N25" s="14"/>
      <c r="O25" s="20" t="str">
        <f>BitsTo32Bit(O26:O41)</f>
        <v>* ERROR2 *</v>
      </c>
      <c r="P25" s="14"/>
      <c r="Q25" s="20" t="str">
        <f>BitsTo32Bit(Q26:Q41)</f>
        <v>* ERROR2 *</v>
      </c>
      <c r="R25" s="14"/>
      <c r="S25" s="20" t="str">
        <f>BitsTo32Bit(S26:S41)</f>
        <v>* ERROR2 *</v>
      </c>
      <c r="T25" s="14"/>
      <c r="U25" s="14"/>
      <c r="V25" s="14"/>
      <c r="W25" s="14"/>
      <c r="X25" s="13"/>
      <c r="Y25" s="20" t="str">
        <f>BitsTo32Bit(Y26:Y41)</f>
        <v>* ERROR2 *</v>
      </c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7"/>
    </row>
    <row r="26" spans="1:42" hidden="1" outlineLevel="1" x14ac:dyDescent="0.3">
      <c r="A26" s="1"/>
      <c r="B26" s="2">
        <v>31</v>
      </c>
      <c r="C26" s="2">
        <v>31</v>
      </c>
      <c r="D26" s="1" t="s">
        <v>1</v>
      </c>
      <c r="E26" s="13"/>
      <c r="F26" s="14"/>
      <c r="G26" s="15">
        <v>0</v>
      </c>
      <c r="H26" s="14"/>
      <c r="I26" s="14"/>
      <c r="J26" s="14"/>
      <c r="K26" s="18">
        <v>0</v>
      </c>
      <c r="L26" s="14"/>
      <c r="M26" s="18">
        <v>0</v>
      </c>
      <c r="N26" s="14"/>
      <c r="O26" s="18">
        <v>0</v>
      </c>
      <c r="P26" s="14"/>
      <c r="Q26" s="18">
        <v>0</v>
      </c>
      <c r="R26" s="14"/>
      <c r="S26" s="18">
        <v>0</v>
      </c>
      <c r="T26" s="14"/>
      <c r="U26" s="14"/>
      <c r="V26" s="14"/>
      <c r="W26" s="14"/>
      <c r="X26" s="13"/>
      <c r="Y26" s="18">
        <v>0</v>
      </c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7"/>
    </row>
    <row r="27" spans="1:42" hidden="1" outlineLevel="1" x14ac:dyDescent="0.3">
      <c r="A27" s="1"/>
      <c r="B27" s="2">
        <v>30</v>
      </c>
      <c r="C27" s="2">
        <v>29</v>
      </c>
      <c r="D27" s="1" t="s">
        <v>29</v>
      </c>
      <c r="E27" s="13"/>
      <c r="F27" s="14"/>
      <c r="G27" s="37">
        <v>0</v>
      </c>
      <c r="H27" s="14"/>
      <c r="I27" s="14"/>
      <c r="J27" s="14"/>
      <c r="K27" s="42">
        <v>0</v>
      </c>
      <c r="L27" s="14"/>
      <c r="M27" s="42">
        <v>0</v>
      </c>
      <c r="N27" s="14"/>
      <c r="O27" s="42">
        <v>0</v>
      </c>
      <c r="P27" s="14"/>
      <c r="Q27" s="42">
        <v>0</v>
      </c>
      <c r="R27" s="14"/>
      <c r="S27" s="42">
        <v>0</v>
      </c>
      <c r="T27" s="14"/>
      <c r="U27" s="14"/>
      <c r="V27" s="14"/>
      <c r="W27" s="14"/>
      <c r="X27" s="13"/>
      <c r="Y27" s="42">
        <v>0</v>
      </c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7"/>
    </row>
    <row r="28" spans="1:42" hidden="1" outlineLevel="1" x14ac:dyDescent="0.3">
      <c r="A28" s="1"/>
      <c r="B28" s="2">
        <v>28</v>
      </c>
      <c r="C28" s="2">
        <v>28</v>
      </c>
      <c r="D28" s="1" t="s">
        <v>30</v>
      </c>
      <c r="E28" s="13"/>
      <c r="F28" s="14"/>
      <c r="G28" s="42">
        <v>0</v>
      </c>
      <c r="H28" s="14"/>
      <c r="I28" s="14"/>
      <c r="J28" s="14"/>
      <c r="K28" s="42">
        <v>1</v>
      </c>
      <c r="L28" s="14"/>
      <c r="M28" s="42">
        <v>1</v>
      </c>
      <c r="N28" s="14"/>
      <c r="O28" s="42">
        <v>1</v>
      </c>
      <c r="P28" s="14"/>
      <c r="Q28" s="42">
        <v>1</v>
      </c>
      <c r="R28" s="14"/>
      <c r="S28" s="42">
        <v>0</v>
      </c>
      <c r="T28" s="14"/>
      <c r="U28" s="14"/>
      <c r="V28" s="14"/>
      <c r="W28" s="14"/>
      <c r="X28" s="13"/>
      <c r="Y28" s="42">
        <v>0</v>
      </c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7"/>
    </row>
    <row r="29" spans="1:42" hidden="1" outlineLevel="1" x14ac:dyDescent="0.3">
      <c r="A29" s="1"/>
      <c r="B29" s="2">
        <v>27</v>
      </c>
      <c r="C29" s="2">
        <v>27</v>
      </c>
      <c r="D29" s="1" t="s">
        <v>31</v>
      </c>
      <c r="E29" s="13"/>
      <c r="F29" s="14"/>
      <c r="G29" s="42">
        <v>0</v>
      </c>
      <c r="H29" s="14"/>
      <c r="I29" s="14"/>
      <c r="J29" s="14"/>
      <c r="K29" s="42">
        <v>0</v>
      </c>
      <c r="L29" s="14"/>
      <c r="M29" s="42">
        <v>0</v>
      </c>
      <c r="N29" s="14"/>
      <c r="O29" s="42">
        <v>0</v>
      </c>
      <c r="P29" s="14"/>
      <c r="Q29" s="42">
        <v>0</v>
      </c>
      <c r="R29" s="14"/>
      <c r="S29" s="42">
        <v>0</v>
      </c>
      <c r="T29" s="14"/>
      <c r="U29" s="14"/>
      <c r="V29" s="14"/>
      <c r="W29" s="14"/>
      <c r="X29" s="13"/>
      <c r="Y29" s="42">
        <v>0</v>
      </c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7"/>
    </row>
    <row r="30" spans="1:42" hidden="1" outlineLevel="1" x14ac:dyDescent="0.3">
      <c r="A30" s="1"/>
      <c r="B30" s="2">
        <v>26</v>
      </c>
      <c r="C30" s="2">
        <v>21</v>
      </c>
      <c r="D30" s="1" t="s">
        <v>32</v>
      </c>
      <c r="E30" s="13"/>
      <c r="F30" s="14"/>
      <c r="G30" s="42">
        <v>0</v>
      </c>
      <c r="H30" s="14"/>
      <c r="I30" s="14"/>
      <c r="J30" s="14"/>
      <c r="K30" s="42">
        <v>1</v>
      </c>
      <c r="L30" s="14"/>
      <c r="M30" s="42">
        <v>1</v>
      </c>
      <c r="N30" s="14"/>
      <c r="O30" s="42">
        <v>1</v>
      </c>
      <c r="P30" s="14"/>
      <c r="Q30" s="42">
        <v>1</v>
      </c>
      <c r="R30" s="14"/>
      <c r="S30" s="42">
        <v>1</v>
      </c>
      <c r="T30" s="14"/>
      <c r="U30" s="14"/>
      <c r="V30" s="14"/>
      <c r="W30" s="14"/>
      <c r="X30" s="13"/>
      <c r="Y30" s="42">
        <v>1</v>
      </c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7"/>
    </row>
    <row r="31" spans="1:42" hidden="1" outlineLevel="1" x14ac:dyDescent="0.3">
      <c r="A31" s="1"/>
      <c r="B31" s="2">
        <v>20</v>
      </c>
      <c r="C31" s="2">
        <v>20</v>
      </c>
      <c r="D31" s="1" t="s">
        <v>33</v>
      </c>
      <c r="E31" s="13"/>
      <c r="F31" s="14"/>
      <c r="G31" s="18">
        <v>0</v>
      </c>
      <c r="H31" s="14"/>
      <c r="I31" s="14"/>
      <c r="J31" s="14"/>
      <c r="K31" s="18">
        <v>0</v>
      </c>
      <c r="L31" s="14"/>
      <c r="M31" s="18">
        <v>0</v>
      </c>
      <c r="N31" s="14"/>
      <c r="O31" s="18">
        <v>0</v>
      </c>
      <c r="P31" s="14"/>
      <c r="Q31" s="18">
        <v>0</v>
      </c>
      <c r="R31" s="14"/>
      <c r="S31" s="18">
        <v>0</v>
      </c>
      <c r="T31" s="14"/>
      <c r="U31" s="14"/>
      <c r="V31" s="14"/>
      <c r="W31" s="14"/>
      <c r="X31" s="13"/>
      <c r="Y31" s="18">
        <v>0</v>
      </c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7"/>
    </row>
    <row r="32" spans="1:42" hidden="1" outlineLevel="1" x14ac:dyDescent="0.3">
      <c r="A32" s="1"/>
      <c r="B32" s="2">
        <v>19</v>
      </c>
      <c r="C32" s="2">
        <v>19</v>
      </c>
      <c r="D32" s="1" t="s">
        <v>34</v>
      </c>
      <c r="E32" s="13"/>
      <c r="F32" s="14"/>
      <c r="G32" s="15">
        <v>0</v>
      </c>
      <c r="H32" s="14"/>
      <c r="I32" s="14"/>
      <c r="J32" s="14"/>
      <c r="K32" s="18">
        <v>0</v>
      </c>
      <c r="L32" s="14"/>
      <c r="M32" s="18">
        <v>0</v>
      </c>
      <c r="N32" s="14"/>
      <c r="O32" s="18">
        <v>0</v>
      </c>
      <c r="P32" s="14"/>
      <c r="Q32" s="18">
        <v>0</v>
      </c>
      <c r="R32" s="14"/>
      <c r="S32" s="18">
        <v>0</v>
      </c>
      <c r="T32" s="14"/>
      <c r="U32" s="14"/>
      <c r="V32" s="14"/>
      <c r="W32" s="14"/>
      <c r="X32" s="13"/>
      <c r="Y32" s="18">
        <v>0</v>
      </c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7"/>
    </row>
    <row r="33" spans="1:42" hidden="1" outlineLevel="1" x14ac:dyDescent="0.3">
      <c r="A33" s="1"/>
      <c r="B33" s="2">
        <v>18</v>
      </c>
      <c r="C33" s="2">
        <v>18</v>
      </c>
      <c r="D33" s="1" t="s">
        <v>35</v>
      </c>
      <c r="E33" s="13"/>
      <c r="F33" s="14"/>
      <c r="G33" s="15">
        <v>0</v>
      </c>
      <c r="H33" s="14"/>
      <c r="I33" s="14"/>
      <c r="J33" s="14"/>
      <c r="K33" s="18">
        <v>0</v>
      </c>
      <c r="L33" s="14"/>
      <c r="M33" s="18">
        <v>0</v>
      </c>
      <c r="N33" s="14"/>
      <c r="O33" s="18">
        <v>0</v>
      </c>
      <c r="P33" s="14"/>
      <c r="Q33" s="18">
        <v>0</v>
      </c>
      <c r="R33" s="14"/>
      <c r="S33" s="18">
        <v>0</v>
      </c>
      <c r="T33" s="14"/>
      <c r="U33" s="14"/>
      <c r="V33" s="14"/>
      <c r="W33" s="14"/>
      <c r="X33" s="13"/>
      <c r="Y33" s="18">
        <v>0</v>
      </c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7"/>
    </row>
    <row r="34" spans="1:42" hidden="1" outlineLevel="1" x14ac:dyDescent="0.3">
      <c r="A34" s="1"/>
      <c r="B34" s="2">
        <v>17</v>
      </c>
      <c r="C34" s="2">
        <v>17</v>
      </c>
      <c r="D34" s="1" t="s">
        <v>36</v>
      </c>
      <c r="E34" s="13"/>
      <c r="F34" s="14"/>
      <c r="G34" s="15">
        <v>0</v>
      </c>
      <c r="H34" s="14"/>
      <c r="I34" s="14"/>
      <c r="J34" s="14"/>
      <c r="K34" s="18">
        <v>0</v>
      </c>
      <c r="L34" s="14"/>
      <c r="M34" s="18">
        <v>0</v>
      </c>
      <c r="N34" s="14"/>
      <c r="O34" s="18">
        <v>0</v>
      </c>
      <c r="P34" s="14"/>
      <c r="Q34" s="18">
        <v>0</v>
      </c>
      <c r="R34" s="14"/>
      <c r="S34" s="18">
        <v>0</v>
      </c>
      <c r="T34" s="14"/>
      <c r="U34" s="14"/>
      <c r="V34" s="14"/>
      <c r="W34" s="14"/>
      <c r="X34" s="13"/>
      <c r="Y34" s="18">
        <v>0</v>
      </c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7"/>
    </row>
    <row r="35" spans="1:42" hidden="1" outlineLevel="1" x14ac:dyDescent="0.3">
      <c r="A35" s="1"/>
      <c r="B35" s="2">
        <v>16</v>
      </c>
      <c r="C35" s="2">
        <v>16</v>
      </c>
      <c r="D35" s="1" t="s">
        <v>37</v>
      </c>
      <c r="E35" s="13"/>
      <c r="F35" s="14"/>
      <c r="G35" s="15">
        <v>0</v>
      </c>
      <c r="H35" s="14"/>
      <c r="I35" s="14"/>
      <c r="J35" s="14"/>
      <c r="K35" s="18">
        <v>0</v>
      </c>
      <c r="L35" s="14"/>
      <c r="M35" s="18">
        <v>0</v>
      </c>
      <c r="N35" s="14"/>
      <c r="O35" s="18">
        <v>0</v>
      </c>
      <c r="P35" s="14"/>
      <c r="Q35" s="18">
        <v>0</v>
      </c>
      <c r="R35" s="14"/>
      <c r="S35" s="18">
        <v>0</v>
      </c>
      <c r="T35" s="14"/>
      <c r="U35" s="14"/>
      <c r="V35" s="14"/>
      <c r="W35" s="14"/>
      <c r="X35" s="13"/>
      <c r="Y35" s="18">
        <v>0</v>
      </c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7"/>
    </row>
    <row r="36" spans="1:42" hidden="1" outlineLevel="1" x14ac:dyDescent="0.3">
      <c r="A36" s="1"/>
      <c r="B36" s="2">
        <v>15</v>
      </c>
      <c r="C36" s="2">
        <v>15</v>
      </c>
      <c r="D36" s="1" t="s">
        <v>38</v>
      </c>
      <c r="E36" s="13"/>
      <c r="F36" s="14"/>
      <c r="G36" s="15">
        <v>0</v>
      </c>
      <c r="H36" s="14"/>
      <c r="I36" s="14"/>
      <c r="J36" s="14"/>
      <c r="K36" s="18">
        <v>0</v>
      </c>
      <c r="L36" s="14"/>
      <c r="M36" s="18">
        <v>0</v>
      </c>
      <c r="N36" s="14"/>
      <c r="O36" s="18">
        <v>0</v>
      </c>
      <c r="P36" s="14"/>
      <c r="Q36" s="18">
        <v>0</v>
      </c>
      <c r="R36" s="14"/>
      <c r="S36" s="18">
        <v>0</v>
      </c>
      <c r="T36" s="14"/>
      <c r="U36" s="14"/>
      <c r="V36" s="14"/>
      <c r="W36" s="14"/>
      <c r="X36" s="13"/>
      <c r="Y36" s="18">
        <v>0</v>
      </c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7"/>
    </row>
    <row r="37" spans="1:42" hidden="1" outlineLevel="1" x14ac:dyDescent="0.3">
      <c r="A37" s="1"/>
      <c r="B37" s="2">
        <v>14</v>
      </c>
      <c r="C37" s="2">
        <v>5</v>
      </c>
      <c r="D37" s="1" t="s">
        <v>39</v>
      </c>
      <c r="E37" s="13"/>
      <c r="F37" s="14"/>
      <c r="G37" s="18" t="s">
        <v>44</v>
      </c>
      <c r="H37" s="14"/>
      <c r="I37" s="14"/>
      <c r="J37" s="14"/>
      <c r="K37" s="18" t="s">
        <v>44</v>
      </c>
      <c r="L37" s="14"/>
      <c r="M37" s="18" t="s">
        <v>44</v>
      </c>
      <c r="N37" s="14"/>
      <c r="O37" s="18" t="s">
        <v>44</v>
      </c>
      <c r="P37" s="14"/>
      <c r="Q37" s="18" t="s">
        <v>44</v>
      </c>
      <c r="R37" s="14"/>
      <c r="S37" s="18" t="s">
        <v>44</v>
      </c>
      <c r="T37" s="14"/>
      <c r="U37" s="14"/>
      <c r="V37" s="14"/>
      <c r="W37" s="14"/>
      <c r="X37" s="13"/>
      <c r="Y37" s="18" t="s">
        <v>44</v>
      </c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7"/>
    </row>
    <row r="38" spans="1:42" hidden="1" outlineLevel="1" x14ac:dyDescent="0.3">
      <c r="A38" s="1"/>
      <c r="B38" s="2">
        <v>4</v>
      </c>
      <c r="C38" s="2">
        <v>4</v>
      </c>
      <c r="D38" s="1" t="s">
        <v>40</v>
      </c>
      <c r="E38" s="13"/>
      <c r="F38" s="14"/>
      <c r="G38" s="15">
        <v>1</v>
      </c>
      <c r="H38" s="14"/>
      <c r="I38" s="14"/>
      <c r="J38" s="14"/>
      <c r="K38" s="18">
        <v>1</v>
      </c>
      <c r="L38" s="14"/>
      <c r="M38" s="18">
        <v>1</v>
      </c>
      <c r="N38" s="14"/>
      <c r="O38" s="18">
        <v>1</v>
      </c>
      <c r="P38" s="14"/>
      <c r="Q38" s="18">
        <v>1</v>
      </c>
      <c r="R38" s="14"/>
      <c r="S38" s="18">
        <v>1</v>
      </c>
      <c r="T38" s="14"/>
      <c r="U38" s="14"/>
      <c r="V38" s="14"/>
      <c r="W38" s="14"/>
      <c r="X38" s="13"/>
      <c r="Y38" s="18">
        <v>1</v>
      </c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7"/>
    </row>
    <row r="39" spans="1:42" hidden="1" outlineLevel="1" x14ac:dyDescent="0.3">
      <c r="A39" s="1"/>
      <c r="B39" s="2">
        <v>3</v>
      </c>
      <c r="C39" s="2">
        <v>3</v>
      </c>
      <c r="D39" s="1" t="s">
        <v>41</v>
      </c>
      <c r="E39" s="13"/>
      <c r="F39" s="14"/>
      <c r="G39" s="15">
        <v>0</v>
      </c>
      <c r="H39" s="14"/>
      <c r="I39" s="14"/>
      <c r="J39" s="14"/>
      <c r="K39" s="18">
        <v>0</v>
      </c>
      <c r="L39" s="14"/>
      <c r="M39" s="18">
        <v>0</v>
      </c>
      <c r="N39" s="14"/>
      <c r="O39" s="18">
        <v>0</v>
      </c>
      <c r="P39" s="14"/>
      <c r="Q39" s="18">
        <v>0</v>
      </c>
      <c r="R39" s="14"/>
      <c r="S39" s="18">
        <v>0</v>
      </c>
      <c r="T39" s="14"/>
      <c r="U39" s="14"/>
      <c r="V39" s="14"/>
      <c r="W39" s="14"/>
      <c r="X39" s="13"/>
      <c r="Y39" s="18">
        <v>0</v>
      </c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7"/>
    </row>
    <row r="40" spans="1:42" hidden="1" outlineLevel="1" x14ac:dyDescent="0.3">
      <c r="A40" s="1"/>
      <c r="B40" s="2">
        <v>2</v>
      </c>
      <c r="C40" s="2">
        <v>1</v>
      </c>
      <c r="D40" s="1" t="s">
        <v>42</v>
      </c>
      <c r="E40" s="13"/>
      <c r="F40" s="14"/>
      <c r="G40" s="18">
        <v>3</v>
      </c>
      <c r="H40" s="14"/>
      <c r="I40" s="14"/>
      <c r="J40" s="14"/>
      <c r="K40" s="18">
        <v>3</v>
      </c>
      <c r="L40" s="14"/>
      <c r="M40" s="18">
        <v>3</v>
      </c>
      <c r="N40" s="14"/>
      <c r="O40" s="18">
        <v>3</v>
      </c>
      <c r="P40" s="14"/>
      <c r="Q40" s="18">
        <v>3</v>
      </c>
      <c r="R40" s="14"/>
      <c r="S40" s="18">
        <v>3</v>
      </c>
      <c r="T40" s="14"/>
      <c r="U40" s="14"/>
      <c r="V40" s="14"/>
      <c r="W40" s="14"/>
      <c r="X40" s="13"/>
      <c r="Y40" s="18">
        <v>3</v>
      </c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7"/>
    </row>
    <row r="41" spans="1:42" hidden="1" outlineLevel="1" x14ac:dyDescent="0.3">
      <c r="A41" s="1"/>
      <c r="B41" s="2">
        <v>0</v>
      </c>
      <c r="C41" s="2">
        <v>0</v>
      </c>
      <c r="D41" s="1" t="s">
        <v>43</v>
      </c>
      <c r="E41" s="13"/>
      <c r="F41" s="14"/>
      <c r="G41" s="15">
        <v>1</v>
      </c>
      <c r="H41" s="14"/>
      <c r="I41" s="14"/>
      <c r="J41" s="14"/>
      <c r="K41" s="18">
        <v>1</v>
      </c>
      <c r="L41" s="14"/>
      <c r="M41" s="18">
        <v>1</v>
      </c>
      <c r="N41" s="14"/>
      <c r="O41" s="18">
        <v>1</v>
      </c>
      <c r="P41" s="14"/>
      <c r="Q41" s="18">
        <v>1</v>
      </c>
      <c r="R41" s="14"/>
      <c r="S41" s="18">
        <v>0</v>
      </c>
      <c r="T41" s="14"/>
      <c r="U41" s="14"/>
      <c r="V41" s="14"/>
      <c r="W41" s="14"/>
      <c r="X41" s="13"/>
      <c r="Y41" s="18">
        <v>0</v>
      </c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7"/>
    </row>
    <row r="42" spans="1:42" collapsed="1" x14ac:dyDescent="0.3">
      <c r="A42" s="1" t="s">
        <v>18</v>
      </c>
      <c r="B42" s="2"/>
      <c r="C42" s="2"/>
      <c r="D42" s="1"/>
      <c r="E42" s="13"/>
      <c r="F42" s="14"/>
      <c r="G42" s="20" t="str">
        <f>BitsTo32Bit(G43:G51)</f>
        <v>$G$46 should be less than or equal to 1</v>
      </c>
      <c r="H42" s="14"/>
      <c r="I42" s="14"/>
      <c r="J42" s="14"/>
      <c r="K42" s="20" t="str">
        <f>BitsTo32Bit(K43:K51)</f>
        <v>$K$45 should be less than or equal to 1</v>
      </c>
      <c r="L42" s="14"/>
      <c r="M42" s="20" t="str">
        <f>BitsTo32Bit(M43:M51)</f>
        <v>$M$45 should be less than or equal to 1</v>
      </c>
      <c r="N42" s="14"/>
      <c r="O42" s="20" t="str">
        <f>BitsTo32Bit(O43:O51)</f>
        <v>$O$45 should be less than or equal to 1</v>
      </c>
      <c r="P42" s="14"/>
      <c r="Q42" s="20" t="str">
        <f>BitsTo32Bit(Q43:Q51)</f>
        <v>$Q$45 should be less than or equal to 1</v>
      </c>
      <c r="R42" s="14"/>
      <c r="S42" s="20" t="str">
        <f>BitsTo32Bit(S43:S51)</f>
        <v>$S$45 should be less than or equal to 1</v>
      </c>
      <c r="T42" s="14"/>
      <c r="U42" s="14"/>
      <c r="V42" s="14"/>
      <c r="W42" s="14"/>
      <c r="X42" s="13"/>
      <c r="Y42" s="20" t="str">
        <f>BitsTo32Bit(Y43:Y51)</f>
        <v>$Y$45 should be less than or equal to 1</v>
      </c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7"/>
    </row>
    <row r="43" spans="1:42" hidden="1" outlineLevel="1" x14ac:dyDescent="0.3">
      <c r="A43" s="1"/>
      <c r="B43" s="2">
        <v>31</v>
      </c>
      <c r="C43" s="2">
        <v>31</v>
      </c>
      <c r="D43" s="1" t="s">
        <v>19</v>
      </c>
      <c r="E43" s="13"/>
      <c r="F43" s="14"/>
      <c r="G43" s="15">
        <v>0</v>
      </c>
      <c r="H43" s="14"/>
      <c r="I43" s="14"/>
      <c r="J43" s="14"/>
      <c r="K43" s="18">
        <v>0</v>
      </c>
      <c r="L43" s="14"/>
      <c r="M43" s="18">
        <v>0</v>
      </c>
      <c r="N43" s="14"/>
      <c r="O43" s="18">
        <v>0</v>
      </c>
      <c r="P43" s="14"/>
      <c r="Q43" s="18">
        <v>0</v>
      </c>
      <c r="R43" s="14"/>
      <c r="S43" s="18">
        <v>0</v>
      </c>
      <c r="T43" s="14"/>
      <c r="U43" s="14"/>
      <c r="V43" s="14"/>
      <c r="W43" s="14"/>
      <c r="X43" s="13"/>
      <c r="Y43" s="18">
        <v>0</v>
      </c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7"/>
    </row>
    <row r="44" spans="1:42" hidden="1" outlineLevel="1" x14ac:dyDescent="0.3">
      <c r="A44" s="1"/>
      <c r="B44" s="2">
        <v>30</v>
      </c>
      <c r="C44" s="2">
        <v>24</v>
      </c>
      <c r="D44" s="1" t="s">
        <v>20</v>
      </c>
      <c r="E44" s="13"/>
      <c r="F44" s="14"/>
      <c r="G44" s="15">
        <v>0</v>
      </c>
      <c r="H44" s="14"/>
      <c r="I44" s="14"/>
      <c r="J44" s="14"/>
      <c r="K44" s="18">
        <v>0</v>
      </c>
      <c r="L44" s="14"/>
      <c r="M44" s="18">
        <v>0</v>
      </c>
      <c r="N44" s="14"/>
      <c r="O44" s="18">
        <v>0</v>
      </c>
      <c r="P44" s="14"/>
      <c r="Q44" s="18">
        <v>0</v>
      </c>
      <c r="R44" s="14"/>
      <c r="S44" s="18">
        <v>0</v>
      </c>
      <c r="T44" s="14"/>
      <c r="U44" s="14"/>
      <c r="V44" s="14"/>
      <c r="W44" s="14"/>
      <c r="X44" s="13"/>
      <c r="Y44" s="18">
        <v>0</v>
      </c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7"/>
    </row>
    <row r="45" spans="1:42" hidden="1" outlineLevel="1" x14ac:dyDescent="0.3">
      <c r="A45" s="1"/>
      <c r="B45" s="2">
        <v>23</v>
      </c>
      <c r="C45" s="2">
        <v>15</v>
      </c>
      <c r="D45" s="1" t="s">
        <v>21</v>
      </c>
      <c r="E45" s="13"/>
      <c r="F45" s="14"/>
      <c r="G45" s="18">
        <v>0</v>
      </c>
      <c r="H45" s="14"/>
      <c r="I45" s="14"/>
      <c r="J45" s="14"/>
      <c r="K45" s="18">
        <v>8</v>
      </c>
      <c r="L45" s="14"/>
      <c r="M45" s="18">
        <v>8</v>
      </c>
      <c r="N45" s="14"/>
      <c r="O45" s="18">
        <v>8</v>
      </c>
      <c r="P45" s="14"/>
      <c r="Q45" s="18">
        <v>8</v>
      </c>
      <c r="R45" s="14"/>
      <c r="S45" s="18">
        <v>8</v>
      </c>
      <c r="T45" s="14"/>
      <c r="U45" s="14"/>
      <c r="V45" s="14"/>
      <c r="W45" s="14"/>
      <c r="X45" s="13"/>
      <c r="Y45" s="18">
        <v>8</v>
      </c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7"/>
    </row>
    <row r="46" spans="1:42" hidden="1" outlineLevel="1" x14ac:dyDescent="0.3">
      <c r="A46" s="1"/>
      <c r="B46" s="2">
        <v>14</v>
      </c>
      <c r="C46" s="2">
        <v>5</v>
      </c>
      <c r="D46" s="1" t="s">
        <v>22</v>
      </c>
      <c r="E46" s="13"/>
      <c r="F46" s="14"/>
      <c r="G46" s="18">
        <v>200</v>
      </c>
      <c r="H46" s="14"/>
      <c r="I46" s="14"/>
      <c r="J46" s="14"/>
      <c r="K46" s="18">
        <v>200</v>
      </c>
      <c r="L46" s="14"/>
      <c r="M46" s="18">
        <v>200</v>
      </c>
      <c r="N46" s="14"/>
      <c r="O46" s="18">
        <v>200</v>
      </c>
      <c r="P46" s="14"/>
      <c r="Q46" s="18">
        <v>200</v>
      </c>
      <c r="R46" s="14"/>
      <c r="S46" s="18">
        <v>200</v>
      </c>
      <c r="T46" s="14"/>
      <c r="U46" s="14"/>
      <c r="V46" s="14"/>
      <c r="W46" s="14"/>
      <c r="X46" s="13"/>
      <c r="Y46" s="18">
        <v>200</v>
      </c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7"/>
    </row>
    <row r="47" spans="1:42" hidden="1" outlineLevel="1" x14ac:dyDescent="0.3">
      <c r="A47" s="1"/>
      <c r="B47" s="2">
        <v>4</v>
      </c>
      <c r="C47" s="2">
        <v>4</v>
      </c>
      <c r="D47" s="1" t="s">
        <v>23</v>
      </c>
      <c r="E47" s="13"/>
      <c r="F47" s="14"/>
      <c r="G47" s="15">
        <v>0</v>
      </c>
      <c r="H47" s="14"/>
      <c r="I47" s="14"/>
      <c r="J47" s="14"/>
      <c r="K47" s="18">
        <v>0</v>
      </c>
      <c r="L47" s="14"/>
      <c r="M47" s="18">
        <v>0</v>
      </c>
      <c r="N47" s="14"/>
      <c r="O47" s="18">
        <v>0</v>
      </c>
      <c r="P47" s="14"/>
      <c r="Q47" s="18">
        <v>0</v>
      </c>
      <c r="R47" s="14"/>
      <c r="S47" s="18">
        <v>0</v>
      </c>
      <c r="T47" s="14"/>
      <c r="U47" s="14"/>
      <c r="V47" s="14"/>
      <c r="W47" s="14"/>
      <c r="X47" s="13"/>
      <c r="Y47" s="18">
        <v>0</v>
      </c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7"/>
    </row>
    <row r="48" spans="1:42" hidden="1" outlineLevel="1" x14ac:dyDescent="0.3">
      <c r="A48" s="1"/>
      <c r="B48" s="2">
        <v>3</v>
      </c>
      <c r="C48" s="2">
        <v>3</v>
      </c>
      <c r="D48" s="1" t="s">
        <v>24</v>
      </c>
      <c r="E48" s="13"/>
      <c r="F48" s="14"/>
      <c r="G48" s="15">
        <v>0</v>
      </c>
      <c r="H48" s="14"/>
      <c r="I48" s="14"/>
      <c r="J48" s="14"/>
      <c r="K48" s="18">
        <v>0</v>
      </c>
      <c r="L48" s="14"/>
      <c r="M48" s="18">
        <v>0</v>
      </c>
      <c r="N48" s="14"/>
      <c r="O48" s="18">
        <v>0</v>
      </c>
      <c r="P48" s="14"/>
      <c r="Q48" s="18">
        <v>0</v>
      </c>
      <c r="R48" s="14"/>
      <c r="S48" s="18">
        <v>1</v>
      </c>
      <c r="T48" s="14"/>
      <c r="U48" s="14"/>
      <c r="V48" s="14"/>
      <c r="W48" s="14"/>
      <c r="X48" s="13"/>
      <c r="Y48" s="18">
        <v>1</v>
      </c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7"/>
    </row>
    <row r="49" spans="1:42" hidden="1" outlineLevel="1" x14ac:dyDescent="0.3">
      <c r="A49" s="1"/>
      <c r="B49" s="2">
        <v>2</v>
      </c>
      <c r="C49" s="2">
        <v>2</v>
      </c>
      <c r="D49" s="1" t="s">
        <v>25</v>
      </c>
      <c r="E49" s="13"/>
      <c r="F49" s="14"/>
      <c r="G49" s="15">
        <v>0</v>
      </c>
      <c r="H49" s="14"/>
      <c r="I49" s="14"/>
      <c r="J49" s="14"/>
      <c r="K49" s="18">
        <v>0</v>
      </c>
      <c r="L49" s="14"/>
      <c r="M49" s="18">
        <v>0</v>
      </c>
      <c r="N49" s="14"/>
      <c r="O49" s="18">
        <v>0</v>
      </c>
      <c r="P49" s="14"/>
      <c r="Q49" s="18">
        <v>0</v>
      </c>
      <c r="R49" s="14"/>
      <c r="S49" s="18">
        <v>0</v>
      </c>
      <c r="T49" s="14"/>
      <c r="U49" s="14"/>
      <c r="V49" s="14"/>
      <c r="W49" s="14"/>
      <c r="X49" s="13"/>
      <c r="Y49" s="18">
        <v>0</v>
      </c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7"/>
    </row>
    <row r="50" spans="1:42" hidden="1" outlineLevel="1" x14ac:dyDescent="0.3">
      <c r="A50" s="1"/>
      <c r="B50" s="2">
        <v>1</v>
      </c>
      <c r="C50" s="2">
        <v>1</v>
      </c>
      <c r="D50" s="1" t="s">
        <v>26</v>
      </c>
      <c r="E50" s="13"/>
      <c r="F50" s="14"/>
      <c r="G50" s="15">
        <v>1</v>
      </c>
      <c r="H50" s="14"/>
      <c r="I50" s="14"/>
      <c r="J50" s="14"/>
      <c r="K50" s="18">
        <v>1</v>
      </c>
      <c r="L50" s="14"/>
      <c r="M50" s="18">
        <v>1</v>
      </c>
      <c r="N50" s="14"/>
      <c r="O50" s="18">
        <v>1</v>
      </c>
      <c r="P50" s="14"/>
      <c r="Q50" s="18">
        <v>1</v>
      </c>
      <c r="R50" s="14"/>
      <c r="S50" s="18">
        <v>1</v>
      </c>
      <c r="T50" s="14"/>
      <c r="U50" s="14"/>
      <c r="V50" s="14"/>
      <c r="W50" s="14"/>
      <c r="X50" s="13"/>
      <c r="Y50" s="18">
        <v>1</v>
      </c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7"/>
    </row>
    <row r="51" spans="1:42" hidden="1" outlineLevel="1" x14ac:dyDescent="0.3">
      <c r="A51" s="1"/>
      <c r="B51" s="2">
        <v>0</v>
      </c>
      <c r="C51" s="2">
        <v>0</v>
      </c>
      <c r="D51" s="1" t="s">
        <v>27</v>
      </c>
      <c r="E51" s="13"/>
      <c r="F51" s="14"/>
      <c r="G51" s="15">
        <v>1</v>
      </c>
      <c r="H51" s="14"/>
      <c r="I51" s="14"/>
      <c r="J51" s="14"/>
      <c r="K51" s="18">
        <v>1</v>
      </c>
      <c r="L51" s="14"/>
      <c r="M51" s="18">
        <v>1</v>
      </c>
      <c r="N51" s="14"/>
      <c r="O51" s="18">
        <v>1</v>
      </c>
      <c r="P51" s="14"/>
      <c r="Q51" s="18">
        <v>1</v>
      </c>
      <c r="R51" s="14"/>
      <c r="S51" s="18">
        <v>1</v>
      </c>
      <c r="T51" s="14"/>
      <c r="U51" s="14"/>
      <c r="V51" s="14"/>
      <c r="W51" s="14"/>
      <c r="X51" s="13"/>
      <c r="Y51" s="18">
        <v>1</v>
      </c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7"/>
    </row>
    <row r="52" spans="1:42" collapsed="1" x14ac:dyDescent="0.3">
      <c r="A52" s="1" t="s">
        <v>134</v>
      </c>
      <c r="B52" s="2"/>
      <c r="C52" s="2"/>
      <c r="D52" s="1"/>
      <c r="E52" s="13"/>
      <c r="F52" s="14"/>
      <c r="G52" s="20" t="str">
        <f>BitsTo32Bit(G53:G56)</f>
        <v>$G$54 should be less than or equal to 1</v>
      </c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7"/>
    </row>
    <row r="53" spans="1:42" hidden="1" outlineLevel="1" x14ac:dyDescent="0.3">
      <c r="A53" s="1"/>
      <c r="B53" s="2">
        <v>31</v>
      </c>
      <c r="C53" s="2">
        <v>26</v>
      </c>
      <c r="D53" s="1" t="s">
        <v>1</v>
      </c>
      <c r="E53" s="13"/>
      <c r="F53" s="14"/>
      <c r="G53" s="15">
        <v>0</v>
      </c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7"/>
    </row>
    <row r="54" spans="1:42" hidden="1" outlineLevel="1" x14ac:dyDescent="0.3">
      <c r="A54" s="1"/>
      <c r="B54" s="2">
        <v>25</v>
      </c>
      <c r="C54" s="2">
        <v>16</v>
      </c>
      <c r="D54" s="1" t="s">
        <v>135</v>
      </c>
      <c r="E54" s="13"/>
      <c r="F54" s="14"/>
      <c r="G54" s="18">
        <v>300</v>
      </c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7"/>
    </row>
    <row r="55" spans="1:42" hidden="1" outlineLevel="1" x14ac:dyDescent="0.3">
      <c r="A55" s="1"/>
      <c r="B55" s="2">
        <v>15</v>
      </c>
      <c r="C55" s="2">
        <v>10</v>
      </c>
      <c r="D55" s="1" t="s">
        <v>1</v>
      </c>
      <c r="E55" s="13"/>
      <c r="F55" s="14"/>
      <c r="G55" s="15">
        <v>0</v>
      </c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7"/>
    </row>
    <row r="56" spans="1:42" hidden="1" outlineLevel="1" x14ac:dyDescent="0.3">
      <c r="A56" s="1"/>
      <c r="B56" s="2">
        <v>9</v>
      </c>
      <c r="C56" s="2">
        <v>0</v>
      </c>
      <c r="D56" s="1" t="s">
        <v>136</v>
      </c>
      <c r="E56" s="13"/>
      <c r="F56" s="14"/>
      <c r="G56" s="18">
        <v>130</v>
      </c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7"/>
    </row>
    <row r="57" spans="1:42" collapsed="1" x14ac:dyDescent="0.3">
      <c r="A57" s="1" t="s">
        <v>45</v>
      </c>
      <c r="B57" s="2"/>
      <c r="C57" s="2"/>
      <c r="D57" s="1"/>
      <c r="E57" s="13"/>
      <c r="F57" s="14"/>
      <c r="G57" s="8" t="str">
        <f>BitsTo32Bit(G58:G61)</f>
        <v>$G$59 should be less than or equal to 1</v>
      </c>
      <c r="H57" s="14"/>
      <c r="I57" s="14"/>
      <c r="J57" s="14"/>
      <c r="K57" s="8" t="str">
        <f>BitsTo32Bit(K58:K61)</f>
        <v>$K$59 should be less than or equal to 1</v>
      </c>
      <c r="L57" s="14"/>
      <c r="M57" s="8" t="str">
        <f>BitsTo32Bit(M58:M61)</f>
        <v>$M$59 should be less than or equal to 1</v>
      </c>
      <c r="N57" s="14"/>
      <c r="O57" s="8" t="str">
        <f>BitsTo32Bit(O58:O61)</f>
        <v>$O$59 should be less than or equal to 1</v>
      </c>
      <c r="P57" s="14"/>
      <c r="Q57" s="8" t="str">
        <f>BitsTo32Bit(Q58:Q61)</f>
        <v>$Q$59 should be less than or equal to 1</v>
      </c>
      <c r="R57" s="14"/>
      <c r="S57" s="8" t="str">
        <f>BitsTo32Bit(S58:S61)</f>
        <v>$S$59 should be less than or equal to 1</v>
      </c>
      <c r="T57" s="14"/>
      <c r="U57" s="14"/>
      <c r="V57" s="14"/>
      <c r="W57" s="14"/>
      <c r="X57" s="13"/>
      <c r="Y57" s="13"/>
      <c r="Z57" s="13"/>
      <c r="AA57" s="13"/>
      <c r="AB57" s="13"/>
      <c r="AC57" s="8" t="str">
        <f>BitsTo32Bit(AC58:AC61)</f>
        <v>$AC$59 should be less than or equal to 1</v>
      </c>
      <c r="AD57" s="13"/>
      <c r="AE57" s="8" t="str">
        <f>BitsTo32Bit(AE58:AE61)</f>
        <v>$AE$59 should be less than or equal to 1</v>
      </c>
      <c r="AF57" s="13"/>
      <c r="AG57" s="13"/>
      <c r="AH57" s="13"/>
      <c r="AI57" s="8" t="str">
        <f>BitsTo32Bit(AI58:AI61)</f>
        <v>$AI$59 should be less than or equal to 1</v>
      </c>
      <c r="AJ57" s="13"/>
      <c r="AK57" s="8" t="str">
        <f>BitsTo32Bit(AK58:AK61)</f>
        <v>$AK$59 should be less than or equal to 1</v>
      </c>
      <c r="AL57" s="13"/>
      <c r="AM57" s="8" t="str">
        <f>BitsTo32Bit(AM58:AM61)</f>
        <v>$AM$59 should be less than or equal to 1</v>
      </c>
      <c r="AN57" s="13"/>
      <c r="AO57" s="8" t="str">
        <f>BitsTo32Bit(AO58:AO61)</f>
        <v>$AO$59 should be less than or equal to 1</v>
      </c>
      <c r="AP57" s="7"/>
    </row>
    <row r="58" spans="1:42" hidden="1" outlineLevel="1" x14ac:dyDescent="0.3">
      <c r="A58" s="1"/>
      <c r="B58" s="2">
        <v>31</v>
      </c>
      <c r="C58" s="2">
        <v>29</v>
      </c>
      <c r="D58" s="1" t="s">
        <v>1</v>
      </c>
      <c r="E58" s="13"/>
      <c r="F58" s="14"/>
      <c r="G58" s="15">
        <v>0</v>
      </c>
      <c r="H58" s="14"/>
      <c r="I58" s="14"/>
      <c r="J58" s="14"/>
      <c r="K58" s="15">
        <v>0</v>
      </c>
      <c r="L58" s="14"/>
      <c r="M58" s="15">
        <v>0</v>
      </c>
      <c r="N58" s="14"/>
      <c r="O58" s="15">
        <v>0</v>
      </c>
      <c r="P58" s="14"/>
      <c r="Q58" s="15">
        <v>0</v>
      </c>
      <c r="R58" s="14"/>
      <c r="S58" s="15">
        <v>0</v>
      </c>
      <c r="T58" s="14"/>
      <c r="U58" s="16"/>
      <c r="V58" s="14"/>
      <c r="W58" s="16"/>
      <c r="X58" s="13"/>
      <c r="Y58" s="13"/>
      <c r="Z58" s="13"/>
      <c r="AA58" s="13"/>
      <c r="AB58" s="13"/>
      <c r="AC58" s="15">
        <v>0</v>
      </c>
      <c r="AD58" s="13"/>
      <c r="AE58" s="15">
        <v>0</v>
      </c>
      <c r="AF58" s="13"/>
      <c r="AG58" s="13"/>
      <c r="AH58" s="13"/>
      <c r="AI58" s="15">
        <v>0</v>
      </c>
      <c r="AJ58" s="13"/>
      <c r="AK58" s="15">
        <v>0</v>
      </c>
      <c r="AL58" s="13"/>
      <c r="AM58" s="15">
        <v>0</v>
      </c>
      <c r="AN58" s="13"/>
      <c r="AO58" s="15">
        <v>0</v>
      </c>
      <c r="AP58" s="7"/>
    </row>
    <row r="59" spans="1:42" hidden="1" outlineLevel="1" x14ac:dyDescent="0.3">
      <c r="A59" s="1"/>
      <c r="B59" s="2">
        <v>28</v>
      </c>
      <c r="C59" s="2">
        <v>16</v>
      </c>
      <c r="D59" s="1" t="s">
        <v>46</v>
      </c>
      <c r="E59" s="13"/>
      <c r="F59" s="14"/>
      <c r="G59" s="18">
        <v>8</v>
      </c>
      <c r="H59" s="14"/>
      <c r="I59" s="14"/>
      <c r="J59" s="14"/>
      <c r="K59" s="18">
        <v>4</v>
      </c>
      <c r="L59" s="14"/>
      <c r="M59" s="18">
        <v>30</v>
      </c>
      <c r="N59" s="14"/>
      <c r="O59" s="18">
        <v>20</v>
      </c>
      <c r="P59" s="14"/>
      <c r="Q59" s="18">
        <v>18</v>
      </c>
      <c r="R59" s="14"/>
      <c r="S59" s="18">
        <v>8</v>
      </c>
      <c r="T59" s="14"/>
      <c r="U59" s="14"/>
      <c r="V59" s="14"/>
      <c r="W59" s="14"/>
      <c r="X59" s="13"/>
      <c r="Y59" s="13"/>
      <c r="Z59" s="13"/>
      <c r="AA59" s="13"/>
      <c r="AB59" s="13"/>
      <c r="AC59" s="18">
        <v>8</v>
      </c>
      <c r="AD59" s="13"/>
      <c r="AE59" s="18">
        <v>8</v>
      </c>
      <c r="AF59" s="13"/>
      <c r="AG59" s="13"/>
      <c r="AH59" s="13"/>
      <c r="AI59" s="18">
        <v>64</v>
      </c>
      <c r="AJ59" s="13"/>
      <c r="AK59" s="18">
        <v>64</v>
      </c>
      <c r="AL59" s="13"/>
      <c r="AM59" s="18">
        <v>64</v>
      </c>
      <c r="AN59" s="13"/>
      <c r="AO59" s="18">
        <v>64</v>
      </c>
      <c r="AP59" s="7"/>
    </row>
    <row r="60" spans="1:42" hidden="1" outlineLevel="1" x14ac:dyDescent="0.3">
      <c r="A60" s="1"/>
      <c r="B60" s="2">
        <v>15</v>
      </c>
      <c r="C60" s="2">
        <v>13</v>
      </c>
      <c r="D60" s="1" t="s">
        <v>1</v>
      </c>
      <c r="E60" s="13"/>
      <c r="F60" s="14"/>
      <c r="G60" s="15">
        <v>0</v>
      </c>
      <c r="H60" s="14"/>
      <c r="I60" s="14"/>
      <c r="J60" s="14"/>
      <c r="K60" s="15">
        <v>0</v>
      </c>
      <c r="L60" s="14"/>
      <c r="M60" s="15">
        <v>0</v>
      </c>
      <c r="N60" s="14"/>
      <c r="O60" s="15">
        <v>0</v>
      </c>
      <c r="P60" s="14"/>
      <c r="Q60" s="15">
        <v>0</v>
      </c>
      <c r="R60" s="14"/>
      <c r="S60" s="15">
        <v>0</v>
      </c>
      <c r="T60" s="14"/>
      <c r="U60" s="16"/>
      <c r="V60" s="14"/>
      <c r="W60" s="16"/>
      <c r="X60" s="13"/>
      <c r="Y60" s="13"/>
      <c r="Z60" s="13"/>
      <c r="AA60" s="13"/>
      <c r="AB60" s="13"/>
      <c r="AC60" s="15">
        <v>0</v>
      </c>
      <c r="AD60" s="13"/>
      <c r="AE60" s="15">
        <v>0</v>
      </c>
      <c r="AF60" s="13"/>
      <c r="AG60" s="13"/>
      <c r="AH60" s="13"/>
      <c r="AI60" s="15">
        <v>0</v>
      </c>
      <c r="AJ60" s="13"/>
      <c r="AK60" s="15">
        <v>0</v>
      </c>
      <c r="AL60" s="13"/>
      <c r="AM60" s="15">
        <v>0</v>
      </c>
      <c r="AN60" s="13"/>
      <c r="AO60" s="15">
        <v>0</v>
      </c>
      <c r="AP60" s="7"/>
    </row>
    <row r="61" spans="1:42" hidden="1" outlineLevel="1" x14ac:dyDescent="0.3">
      <c r="A61" s="1"/>
      <c r="B61" s="2">
        <v>12</v>
      </c>
      <c r="C61" s="2">
        <v>0</v>
      </c>
      <c r="D61" s="1" t="s">
        <v>47</v>
      </c>
      <c r="E61" s="13"/>
      <c r="F61" s="14"/>
      <c r="G61" s="18">
        <v>60</v>
      </c>
      <c r="H61" s="14"/>
      <c r="I61" s="14"/>
      <c r="J61" s="14"/>
      <c r="K61" s="18" t="s">
        <v>306</v>
      </c>
      <c r="L61" s="14"/>
      <c r="M61" s="18" t="s">
        <v>365</v>
      </c>
      <c r="N61" s="14"/>
      <c r="O61" s="18">
        <v>40</v>
      </c>
      <c r="P61" s="14"/>
      <c r="Q61" s="18">
        <v>40</v>
      </c>
      <c r="R61" s="14"/>
      <c r="S61" s="18">
        <v>60</v>
      </c>
      <c r="T61" s="14"/>
      <c r="U61" s="14"/>
      <c r="V61" s="14"/>
      <c r="W61" s="14"/>
      <c r="X61" s="13"/>
      <c r="Y61" s="13"/>
      <c r="Z61" s="13"/>
      <c r="AA61" s="13"/>
      <c r="AB61" s="13"/>
      <c r="AC61" s="18">
        <v>60</v>
      </c>
      <c r="AD61" s="13"/>
      <c r="AE61" s="18">
        <v>60</v>
      </c>
      <c r="AF61" s="13"/>
      <c r="AG61" s="13"/>
      <c r="AH61" s="13"/>
      <c r="AI61" s="18" t="s">
        <v>154</v>
      </c>
      <c r="AJ61" s="13"/>
      <c r="AK61" s="18" t="s">
        <v>154</v>
      </c>
      <c r="AL61" s="13"/>
      <c r="AM61" s="18" t="s">
        <v>154</v>
      </c>
      <c r="AN61" s="13"/>
      <c r="AO61" s="18" t="s">
        <v>174</v>
      </c>
      <c r="AP61" s="7"/>
    </row>
    <row r="62" spans="1:42" collapsed="1" x14ac:dyDescent="0.3">
      <c r="A62" s="1" t="s">
        <v>48</v>
      </c>
      <c r="B62" s="2"/>
      <c r="C62" s="2"/>
      <c r="D62" s="1"/>
      <c r="E62" s="13"/>
      <c r="F62" s="14"/>
      <c r="G62" s="17" t="str">
        <f>BitsTo32Bit(G63:G75)</f>
        <v>$G$64 should be less than or equal to 1</v>
      </c>
      <c r="H62" s="14"/>
      <c r="I62" s="14"/>
      <c r="J62" s="14"/>
      <c r="K62" s="9" t="str">
        <f>BitsTo32Bit(K63:K75)</f>
        <v>$K$65 should be less than or equal to 1</v>
      </c>
      <c r="L62" s="14"/>
      <c r="M62" s="9" t="str">
        <f>BitsTo32Bit(M63:M75)</f>
        <v>$M$64 should be less than or equal to 1</v>
      </c>
      <c r="N62" s="14"/>
      <c r="O62" s="9" t="str">
        <f>BitsTo32Bit(O63:O75)</f>
        <v>$O$64 should be less than or equal to 1</v>
      </c>
      <c r="P62" s="14"/>
      <c r="Q62" s="20" t="str">
        <f>BitsTo32Bit(Q63:Q75)</f>
        <v>$Q$63 should be less than or equal to 1</v>
      </c>
      <c r="R62" s="14"/>
      <c r="S62" s="12"/>
      <c r="T62" s="14"/>
      <c r="U62" s="20" t="str">
        <f>BitsTo32Bit(U63:U75)</f>
        <v>$U$64 should be less than or equal to 1</v>
      </c>
      <c r="V62" s="14"/>
      <c r="W62" s="17" t="str">
        <f>BitsTo32Bit(W63:W75)</f>
        <v>$W$64 should be less than or equal to 1</v>
      </c>
      <c r="X62" s="13"/>
      <c r="Y62" s="13"/>
      <c r="Z62" s="13"/>
      <c r="AA62" s="13"/>
      <c r="AB62" s="13"/>
      <c r="AC62" s="20" t="str">
        <f>BitsTo32Bit(AC63:AC75)</f>
        <v>$AC$64 should be less than or equal to 1</v>
      </c>
      <c r="AD62" s="13"/>
      <c r="AE62" s="17" t="str">
        <f>BitsTo32Bit(AE63:AE75)</f>
        <v>$AE$64 should be less than or equal to 1</v>
      </c>
      <c r="AF62" s="13"/>
      <c r="AG62" s="13"/>
      <c r="AH62" s="13"/>
      <c r="AI62" s="17" t="str">
        <f>BitsTo32Bit(AI63:AI75)</f>
        <v>$AI$64 should be less than or equal to 1</v>
      </c>
      <c r="AJ62" s="13"/>
      <c r="AK62" s="17" t="str">
        <f>BitsTo32Bit(AK63:AK75)</f>
        <v>$AK$64 should be less than or equal to 1</v>
      </c>
      <c r="AL62" s="13"/>
      <c r="AM62" s="17" t="str">
        <f>BitsTo32Bit(AM63:AM75)</f>
        <v>$AM$64 should be less than or equal to 1</v>
      </c>
      <c r="AN62" s="13"/>
      <c r="AO62" s="17" t="str">
        <f>BitsTo32Bit(AO63:AO75)</f>
        <v>$AO$64 should be less than or equal to 1</v>
      </c>
      <c r="AP62" s="7"/>
    </row>
    <row r="63" spans="1:42" hidden="1" outlineLevel="1" x14ac:dyDescent="0.3">
      <c r="A63" s="1"/>
      <c r="B63" s="2">
        <v>31</v>
      </c>
      <c r="C63" s="2">
        <v>30</v>
      </c>
      <c r="D63" s="1" t="s">
        <v>49</v>
      </c>
      <c r="E63" s="13"/>
      <c r="F63" s="14"/>
      <c r="G63" s="18">
        <v>0</v>
      </c>
      <c r="H63" s="14"/>
      <c r="I63" s="14"/>
      <c r="J63" s="14"/>
      <c r="K63" s="18">
        <v>0</v>
      </c>
      <c r="L63" s="14"/>
      <c r="M63" s="18">
        <v>0</v>
      </c>
      <c r="N63" s="14"/>
      <c r="O63" s="18">
        <v>0</v>
      </c>
      <c r="P63" s="14"/>
      <c r="Q63" s="18">
        <v>3</v>
      </c>
      <c r="R63" s="14"/>
      <c r="S63" s="12"/>
      <c r="T63" s="14"/>
      <c r="U63" s="18">
        <v>0</v>
      </c>
      <c r="V63" s="14"/>
      <c r="W63" s="18">
        <v>0</v>
      </c>
      <c r="X63" s="13"/>
      <c r="Y63" s="13"/>
      <c r="Z63" s="13"/>
      <c r="AA63" s="13"/>
      <c r="AB63" s="13"/>
      <c r="AC63" s="18">
        <v>0</v>
      </c>
      <c r="AD63" s="13"/>
      <c r="AE63" s="18">
        <v>0</v>
      </c>
      <c r="AF63" s="13"/>
      <c r="AG63" s="13"/>
      <c r="AH63" s="13"/>
      <c r="AI63" s="18">
        <v>0</v>
      </c>
      <c r="AJ63" s="13"/>
      <c r="AK63" s="18">
        <v>0</v>
      </c>
      <c r="AL63" s="13"/>
      <c r="AM63" s="18">
        <v>0</v>
      </c>
      <c r="AN63" s="13"/>
      <c r="AO63" s="18">
        <v>0</v>
      </c>
      <c r="AP63" s="7"/>
    </row>
    <row r="64" spans="1:42" hidden="1" outlineLevel="1" x14ac:dyDescent="0.3">
      <c r="A64" s="1"/>
      <c r="B64" s="2">
        <v>29</v>
      </c>
      <c r="C64" s="2">
        <v>24</v>
      </c>
      <c r="D64" s="1" t="s">
        <v>50</v>
      </c>
      <c r="E64" s="13"/>
      <c r="F64" s="14"/>
      <c r="G64" s="18" t="s">
        <v>117</v>
      </c>
      <c r="H64" s="14"/>
      <c r="I64" s="14"/>
      <c r="J64" s="14"/>
      <c r="K64" s="18">
        <v>1</v>
      </c>
      <c r="L64" s="14"/>
      <c r="M64" s="18">
        <v>8</v>
      </c>
      <c r="N64" s="14"/>
      <c r="O64" s="18">
        <v>8</v>
      </c>
      <c r="P64" s="14"/>
      <c r="Q64" s="18">
        <v>1</v>
      </c>
      <c r="R64" s="14"/>
      <c r="S64" s="12"/>
      <c r="T64" s="14"/>
      <c r="U64" s="18" t="s">
        <v>117</v>
      </c>
      <c r="V64" s="14"/>
      <c r="W64" s="18" t="s">
        <v>117</v>
      </c>
      <c r="X64" s="13"/>
      <c r="Y64" s="13"/>
      <c r="Z64" s="13"/>
      <c r="AA64" s="13"/>
      <c r="AB64" s="13"/>
      <c r="AC64" s="18" t="s">
        <v>117</v>
      </c>
      <c r="AD64" s="13"/>
      <c r="AE64" s="18" t="s">
        <v>117</v>
      </c>
      <c r="AF64" s="13"/>
      <c r="AG64" s="13"/>
      <c r="AH64" s="13"/>
      <c r="AI64" s="18">
        <v>17</v>
      </c>
      <c r="AJ64" s="13"/>
      <c r="AK64" s="18">
        <v>17</v>
      </c>
      <c r="AL64" s="13"/>
      <c r="AM64" s="18">
        <v>17</v>
      </c>
      <c r="AN64" s="13"/>
      <c r="AO64" s="18">
        <v>17</v>
      </c>
      <c r="AP64" s="7"/>
    </row>
    <row r="65" spans="1:42" hidden="1" outlineLevel="1" x14ac:dyDescent="0.3">
      <c r="A65" s="1"/>
      <c r="B65" s="2">
        <v>23</v>
      </c>
      <c r="C65" s="2">
        <v>16</v>
      </c>
      <c r="D65" s="1" t="s">
        <v>51</v>
      </c>
      <c r="E65" s="13"/>
      <c r="F65" s="14"/>
      <c r="G65" s="18">
        <v>80</v>
      </c>
      <c r="H65" s="14"/>
      <c r="I65" s="14"/>
      <c r="J65" s="14"/>
      <c r="K65" s="18">
        <v>80</v>
      </c>
      <c r="L65" s="14"/>
      <c r="M65" s="18">
        <v>80</v>
      </c>
      <c r="N65" s="14"/>
      <c r="O65" s="18">
        <v>80</v>
      </c>
      <c r="P65" s="14"/>
      <c r="Q65" s="18">
        <v>10</v>
      </c>
      <c r="R65" s="14"/>
      <c r="S65" s="12"/>
      <c r="T65" s="14"/>
      <c r="U65" s="18">
        <v>80</v>
      </c>
      <c r="V65" s="14"/>
      <c r="W65" s="18">
        <v>80</v>
      </c>
      <c r="X65" s="13"/>
      <c r="Y65" s="13"/>
      <c r="Z65" s="13"/>
      <c r="AA65" s="13"/>
      <c r="AB65" s="13"/>
      <c r="AC65" s="18">
        <v>80</v>
      </c>
      <c r="AD65" s="13"/>
      <c r="AE65" s="18">
        <v>80</v>
      </c>
      <c r="AF65" s="13"/>
      <c r="AG65" s="13"/>
      <c r="AH65" s="13"/>
      <c r="AI65" s="18">
        <v>80</v>
      </c>
      <c r="AJ65" s="13"/>
      <c r="AK65" s="18">
        <v>80</v>
      </c>
      <c r="AL65" s="13"/>
      <c r="AM65" s="18">
        <v>80</v>
      </c>
      <c r="AN65" s="13"/>
      <c r="AO65" s="18">
        <v>80</v>
      </c>
      <c r="AP65" s="7"/>
    </row>
    <row r="66" spans="1:42" hidden="1" outlineLevel="1" x14ac:dyDescent="0.3">
      <c r="A66" s="1"/>
      <c r="B66" s="2">
        <v>15</v>
      </c>
      <c r="C66" s="2">
        <v>14</v>
      </c>
      <c r="D66" s="1" t="s">
        <v>326</v>
      </c>
      <c r="E66" s="13"/>
      <c r="F66" s="14"/>
      <c r="G66" s="18">
        <v>2</v>
      </c>
      <c r="H66" s="14"/>
      <c r="I66" s="14"/>
      <c r="J66" s="14"/>
      <c r="K66" s="15">
        <v>3</v>
      </c>
      <c r="L66" s="14"/>
      <c r="M66" s="15">
        <v>3</v>
      </c>
      <c r="N66" s="14"/>
      <c r="O66" s="15">
        <v>1</v>
      </c>
      <c r="P66" s="14"/>
      <c r="Q66" s="18">
        <v>0</v>
      </c>
      <c r="R66" s="14"/>
      <c r="S66" s="12"/>
      <c r="T66" s="14"/>
      <c r="U66" s="18">
        <v>2</v>
      </c>
      <c r="V66" s="14"/>
      <c r="W66" s="15">
        <v>2</v>
      </c>
      <c r="X66" s="13"/>
      <c r="Y66" s="13"/>
      <c r="Z66" s="13"/>
      <c r="AA66" s="13"/>
      <c r="AB66" s="13"/>
      <c r="AC66" s="18">
        <v>0</v>
      </c>
      <c r="AD66" s="13"/>
      <c r="AE66" s="15">
        <v>0</v>
      </c>
      <c r="AF66" s="13"/>
      <c r="AG66" s="13"/>
      <c r="AH66" s="13"/>
      <c r="AI66" s="15">
        <v>2</v>
      </c>
      <c r="AJ66" s="13"/>
      <c r="AK66" s="15">
        <v>1</v>
      </c>
      <c r="AL66" s="13"/>
      <c r="AM66" s="15">
        <v>1</v>
      </c>
      <c r="AN66" s="13"/>
      <c r="AO66" s="15">
        <v>1</v>
      </c>
      <c r="AP66" s="7"/>
    </row>
    <row r="67" spans="1:42" hidden="1" outlineLevel="1" x14ac:dyDescent="0.3">
      <c r="A67" s="1"/>
      <c r="B67" s="2">
        <v>13</v>
      </c>
      <c r="C67" s="2">
        <v>12</v>
      </c>
      <c r="D67" s="1" t="s">
        <v>327</v>
      </c>
      <c r="E67" s="13"/>
      <c r="F67" s="14"/>
      <c r="G67" s="15">
        <v>1</v>
      </c>
      <c r="H67" s="14"/>
      <c r="I67" s="14"/>
      <c r="J67" s="14"/>
      <c r="K67" s="15">
        <v>3</v>
      </c>
      <c r="L67" s="14"/>
      <c r="M67" s="15">
        <v>3</v>
      </c>
      <c r="N67" s="14"/>
      <c r="O67" s="15">
        <v>1</v>
      </c>
      <c r="P67" s="14"/>
      <c r="Q67" s="18">
        <v>1</v>
      </c>
      <c r="R67" s="14"/>
      <c r="S67" s="12"/>
      <c r="T67" s="14"/>
      <c r="U67" s="18">
        <v>2</v>
      </c>
      <c r="V67" s="14"/>
      <c r="W67" s="15">
        <v>2</v>
      </c>
      <c r="X67" s="13"/>
      <c r="Y67" s="13"/>
      <c r="Z67" s="13"/>
      <c r="AA67" s="13"/>
      <c r="AB67" s="13"/>
      <c r="AC67" s="18">
        <v>1</v>
      </c>
      <c r="AD67" s="13"/>
      <c r="AE67" s="15">
        <v>1</v>
      </c>
      <c r="AF67" s="13"/>
      <c r="AG67" s="13"/>
      <c r="AH67" s="13"/>
      <c r="AI67" s="15">
        <v>2</v>
      </c>
      <c r="AJ67" s="13"/>
      <c r="AK67" s="15">
        <v>1</v>
      </c>
      <c r="AL67" s="13"/>
      <c r="AM67" s="15">
        <v>1</v>
      </c>
      <c r="AN67" s="13"/>
      <c r="AO67" s="15">
        <v>1</v>
      </c>
      <c r="AP67" s="7"/>
    </row>
    <row r="68" spans="1:42" hidden="1" outlineLevel="1" x14ac:dyDescent="0.3">
      <c r="A68" s="1"/>
      <c r="B68" s="2">
        <v>11</v>
      </c>
      <c r="C68" s="2">
        <v>10</v>
      </c>
      <c r="D68" s="1" t="s">
        <v>328</v>
      </c>
      <c r="E68" s="13"/>
      <c r="F68" s="14"/>
      <c r="G68" s="15">
        <v>3</v>
      </c>
      <c r="H68" s="14"/>
      <c r="I68" s="14"/>
      <c r="J68" s="14"/>
      <c r="K68" s="15">
        <v>2</v>
      </c>
      <c r="L68" s="14"/>
      <c r="M68" s="15">
        <v>2</v>
      </c>
      <c r="N68" s="14"/>
      <c r="O68" s="15">
        <v>3</v>
      </c>
      <c r="P68" s="14"/>
      <c r="Q68" s="15">
        <v>3</v>
      </c>
      <c r="R68" s="14"/>
      <c r="S68" s="12"/>
      <c r="T68" s="14"/>
      <c r="U68" s="15">
        <v>3</v>
      </c>
      <c r="V68" s="14"/>
      <c r="W68" s="15">
        <v>3</v>
      </c>
      <c r="X68" s="13"/>
      <c r="Y68" s="13"/>
      <c r="Z68" s="13"/>
      <c r="AA68" s="13"/>
      <c r="AB68" s="13"/>
      <c r="AC68" s="15">
        <v>3</v>
      </c>
      <c r="AD68" s="13"/>
      <c r="AE68" s="15">
        <v>3</v>
      </c>
      <c r="AF68" s="13"/>
      <c r="AG68" s="13"/>
      <c r="AH68" s="13"/>
      <c r="AI68" s="15">
        <v>3</v>
      </c>
      <c r="AJ68" s="13"/>
      <c r="AK68" s="15">
        <v>3</v>
      </c>
      <c r="AL68" s="13"/>
      <c r="AM68" s="15">
        <v>3</v>
      </c>
      <c r="AN68" s="13"/>
      <c r="AO68" s="15">
        <v>3</v>
      </c>
      <c r="AP68" s="7"/>
    </row>
    <row r="69" spans="1:42" hidden="1" outlineLevel="1" x14ac:dyDescent="0.3">
      <c r="A69" s="1"/>
      <c r="B69" s="2">
        <v>9</v>
      </c>
      <c r="C69" s="2">
        <v>9</v>
      </c>
      <c r="D69" s="1" t="s">
        <v>52</v>
      </c>
      <c r="E69" s="13"/>
      <c r="F69" s="14"/>
      <c r="G69" s="18">
        <v>0</v>
      </c>
      <c r="H69" s="14"/>
      <c r="I69" s="14"/>
      <c r="J69" s="14"/>
      <c r="K69" s="18">
        <v>0</v>
      </c>
      <c r="L69" s="14"/>
      <c r="M69" s="18">
        <v>0</v>
      </c>
      <c r="N69" s="14"/>
      <c r="O69" s="18">
        <v>0</v>
      </c>
      <c r="P69" s="14"/>
      <c r="Q69" s="18">
        <v>1</v>
      </c>
      <c r="R69" s="14"/>
      <c r="S69" s="12"/>
      <c r="T69" s="14"/>
      <c r="U69" s="18">
        <v>0</v>
      </c>
      <c r="V69" s="14"/>
      <c r="W69" s="18">
        <v>0</v>
      </c>
      <c r="X69" s="13"/>
      <c r="Y69" s="13"/>
      <c r="Z69" s="13"/>
      <c r="AA69" s="13"/>
      <c r="AB69" s="13"/>
      <c r="AC69" s="18">
        <v>0</v>
      </c>
      <c r="AD69" s="13"/>
      <c r="AE69" s="18">
        <v>0</v>
      </c>
      <c r="AF69" s="13"/>
      <c r="AG69" s="13"/>
      <c r="AH69" s="13"/>
      <c r="AI69" s="18">
        <v>0</v>
      </c>
      <c r="AJ69" s="13"/>
      <c r="AK69" s="18">
        <v>0</v>
      </c>
      <c r="AL69" s="13"/>
      <c r="AM69" s="18">
        <v>0</v>
      </c>
      <c r="AN69" s="13"/>
      <c r="AO69" s="18">
        <v>0</v>
      </c>
      <c r="AP69" s="7"/>
    </row>
    <row r="70" spans="1:42" hidden="1" outlineLevel="1" x14ac:dyDescent="0.3">
      <c r="A70" s="1"/>
      <c r="B70" s="2">
        <v>8</v>
      </c>
      <c r="C70" s="2">
        <v>5</v>
      </c>
      <c r="D70" s="1" t="s">
        <v>53</v>
      </c>
      <c r="E70" s="13"/>
      <c r="F70" s="14"/>
      <c r="G70" s="18">
        <v>8</v>
      </c>
      <c r="H70" s="14"/>
      <c r="I70" s="14"/>
      <c r="J70" s="14"/>
      <c r="K70" s="18" t="s">
        <v>117</v>
      </c>
      <c r="L70" s="14"/>
      <c r="M70" s="18" t="s">
        <v>117</v>
      </c>
      <c r="N70" s="14"/>
      <c r="O70" s="18">
        <v>8</v>
      </c>
      <c r="P70" s="14"/>
      <c r="Q70" s="18">
        <v>3</v>
      </c>
      <c r="R70" s="14"/>
      <c r="S70" s="12"/>
      <c r="T70" s="14"/>
      <c r="U70" s="18">
        <v>8</v>
      </c>
      <c r="V70" s="14"/>
      <c r="W70" s="18">
        <v>8</v>
      </c>
      <c r="X70" s="13"/>
      <c r="Y70" s="13"/>
      <c r="Z70" s="13"/>
      <c r="AA70" s="13"/>
      <c r="AB70" s="13"/>
      <c r="AC70" s="18">
        <v>4</v>
      </c>
      <c r="AD70" s="13"/>
      <c r="AE70" s="18">
        <v>4</v>
      </c>
      <c r="AF70" s="13"/>
      <c r="AG70" s="13"/>
      <c r="AH70" s="13"/>
      <c r="AI70" s="18" t="s">
        <v>117</v>
      </c>
      <c r="AJ70" s="13"/>
      <c r="AK70" s="18" t="s">
        <v>117</v>
      </c>
      <c r="AL70" s="13"/>
      <c r="AM70" s="18" t="s">
        <v>117</v>
      </c>
      <c r="AN70" s="13"/>
      <c r="AO70" s="18">
        <v>3</v>
      </c>
      <c r="AP70" s="7"/>
    </row>
    <row r="71" spans="1:42" hidden="1" outlineLevel="1" x14ac:dyDescent="0.3">
      <c r="A71" s="1"/>
      <c r="B71" s="2">
        <v>4</v>
      </c>
      <c r="C71" s="2">
        <v>4</v>
      </c>
      <c r="D71" s="1" t="s">
        <v>54</v>
      </c>
      <c r="E71" s="13"/>
      <c r="F71" s="14"/>
      <c r="G71" s="15">
        <v>0</v>
      </c>
      <c r="H71" s="14"/>
      <c r="I71" s="14"/>
      <c r="J71" s="14"/>
      <c r="K71" s="15">
        <v>0</v>
      </c>
      <c r="L71" s="14"/>
      <c r="M71" s="15">
        <v>0</v>
      </c>
      <c r="N71" s="14"/>
      <c r="O71" s="15">
        <v>0</v>
      </c>
      <c r="P71" s="14"/>
      <c r="Q71" s="15">
        <v>1</v>
      </c>
      <c r="R71" s="14"/>
      <c r="S71" s="12"/>
      <c r="T71" s="14"/>
      <c r="U71" s="15">
        <v>0</v>
      </c>
      <c r="V71" s="14"/>
      <c r="W71" s="15">
        <v>0</v>
      </c>
      <c r="X71" s="13"/>
      <c r="Y71" s="13"/>
      <c r="Z71" s="13"/>
      <c r="AA71" s="13"/>
      <c r="AB71" s="13"/>
      <c r="AC71" s="15">
        <v>0</v>
      </c>
      <c r="AD71" s="13"/>
      <c r="AE71" s="15">
        <v>0</v>
      </c>
      <c r="AF71" s="13"/>
      <c r="AG71" s="13"/>
      <c r="AH71" s="13"/>
      <c r="AI71" s="15">
        <v>0</v>
      </c>
      <c r="AJ71" s="13"/>
      <c r="AK71" s="15">
        <v>0</v>
      </c>
      <c r="AL71" s="13"/>
      <c r="AM71" s="15">
        <v>0</v>
      </c>
      <c r="AN71" s="13"/>
      <c r="AO71" s="15">
        <v>1</v>
      </c>
      <c r="AP71" s="7"/>
    </row>
    <row r="72" spans="1:42" hidden="1" outlineLevel="1" x14ac:dyDescent="0.3">
      <c r="A72" s="1"/>
      <c r="B72" s="2">
        <v>3</v>
      </c>
      <c r="C72" s="2">
        <v>3</v>
      </c>
      <c r="D72" s="1" t="s">
        <v>55</v>
      </c>
      <c r="E72" s="13"/>
      <c r="F72" s="14"/>
      <c r="G72" s="15">
        <v>1</v>
      </c>
      <c r="H72" s="14"/>
      <c r="I72" s="14"/>
      <c r="J72" s="14"/>
      <c r="K72" s="15">
        <v>1</v>
      </c>
      <c r="L72" s="14"/>
      <c r="M72" s="15">
        <v>1</v>
      </c>
      <c r="N72" s="14"/>
      <c r="O72" s="15">
        <v>1</v>
      </c>
      <c r="P72" s="14"/>
      <c r="Q72" s="15">
        <v>0</v>
      </c>
      <c r="R72" s="14"/>
      <c r="S72" s="12"/>
      <c r="T72" s="14"/>
      <c r="U72" s="15">
        <v>0</v>
      </c>
      <c r="V72" s="14"/>
      <c r="W72" s="15">
        <v>1</v>
      </c>
      <c r="X72" s="13"/>
      <c r="Y72" s="13"/>
      <c r="Z72" s="13"/>
      <c r="AA72" s="13"/>
      <c r="AB72" s="13"/>
      <c r="AC72" s="15">
        <v>0</v>
      </c>
      <c r="AD72" s="13"/>
      <c r="AE72" s="15">
        <v>1</v>
      </c>
      <c r="AF72" s="13"/>
      <c r="AG72" s="13"/>
      <c r="AH72" s="13"/>
      <c r="AI72" s="15">
        <v>1</v>
      </c>
      <c r="AJ72" s="13"/>
      <c r="AK72" s="15">
        <v>1</v>
      </c>
      <c r="AL72" s="13"/>
      <c r="AM72" s="15">
        <v>1</v>
      </c>
      <c r="AN72" s="13"/>
      <c r="AO72" s="15">
        <v>0</v>
      </c>
      <c r="AP72" s="7"/>
    </row>
    <row r="73" spans="1:42" hidden="1" outlineLevel="1" x14ac:dyDescent="0.3">
      <c r="A73" s="1"/>
      <c r="B73" s="2">
        <v>2</v>
      </c>
      <c r="C73" s="2">
        <v>2</v>
      </c>
      <c r="D73" s="1" t="s">
        <v>56</v>
      </c>
      <c r="E73" s="13"/>
      <c r="F73" s="14"/>
      <c r="G73" s="15">
        <v>1</v>
      </c>
      <c r="H73" s="14"/>
      <c r="I73" s="14"/>
      <c r="J73" s="14"/>
      <c r="K73" s="15">
        <v>1</v>
      </c>
      <c r="L73" s="14"/>
      <c r="M73" s="15">
        <v>1</v>
      </c>
      <c r="N73" s="14"/>
      <c r="O73" s="15">
        <v>1</v>
      </c>
      <c r="P73" s="14"/>
      <c r="Q73" s="15">
        <v>0</v>
      </c>
      <c r="R73" s="14"/>
      <c r="S73" s="12"/>
      <c r="T73" s="14"/>
      <c r="U73" s="15">
        <v>1</v>
      </c>
      <c r="V73" s="14"/>
      <c r="W73" s="15">
        <v>0</v>
      </c>
      <c r="X73" s="13"/>
      <c r="Y73" s="13"/>
      <c r="Z73" s="13"/>
      <c r="AA73" s="13"/>
      <c r="AB73" s="13"/>
      <c r="AC73" s="15">
        <v>1</v>
      </c>
      <c r="AD73" s="13"/>
      <c r="AE73" s="15">
        <v>0</v>
      </c>
      <c r="AF73" s="13"/>
      <c r="AG73" s="13"/>
      <c r="AH73" s="13"/>
      <c r="AI73" s="15">
        <v>1</v>
      </c>
      <c r="AJ73" s="13"/>
      <c r="AK73" s="15">
        <v>1</v>
      </c>
      <c r="AL73" s="13"/>
      <c r="AM73" s="15">
        <v>1</v>
      </c>
      <c r="AN73" s="13"/>
      <c r="AO73" s="15">
        <v>0</v>
      </c>
      <c r="AP73" s="7"/>
    </row>
    <row r="74" spans="1:42" hidden="1" outlineLevel="1" x14ac:dyDescent="0.3">
      <c r="A74" s="1"/>
      <c r="B74" s="2">
        <v>1</v>
      </c>
      <c r="C74" s="2">
        <v>1</v>
      </c>
      <c r="D74" s="1" t="s">
        <v>57</v>
      </c>
      <c r="E74" s="13"/>
      <c r="F74" s="14"/>
      <c r="G74" s="15">
        <v>0</v>
      </c>
      <c r="H74" s="14"/>
      <c r="I74" s="14"/>
      <c r="J74" s="14"/>
      <c r="K74" s="15">
        <v>0</v>
      </c>
      <c r="L74" s="14"/>
      <c r="M74" s="15">
        <v>1</v>
      </c>
      <c r="N74" s="14"/>
      <c r="O74" s="15">
        <v>1</v>
      </c>
      <c r="P74" s="14"/>
      <c r="Q74" s="15">
        <v>0</v>
      </c>
      <c r="R74" s="14"/>
      <c r="S74" s="12"/>
      <c r="T74" s="14"/>
      <c r="U74" s="15">
        <v>0</v>
      </c>
      <c r="V74" s="14"/>
      <c r="W74" s="15">
        <v>0</v>
      </c>
      <c r="X74" s="13"/>
      <c r="Y74" s="13"/>
      <c r="Z74" s="13"/>
      <c r="AA74" s="13"/>
      <c r="AB74" s="13"/>
      <c r="AC74" s="15">
        <v>0</v>
      </c>
      <c r="AD74" s="13"/>
      <c r="AE74" s="15">
        <v>0</v>
      </c>
      <c r="AF74" s="13"/>
      <c r="AG74" s="13"/>
      <c r="AH74" s="13"/>
      <c r="AI74" s="15">
        <v>1</v>
      </c>
      <c r="AJ74" s="13"/>
      <c r="AK74" s="15">
        <v>1</v>
      </c>
      <c r="AL74" s="13"/>
      <c r="AM74" s="15">
        <v>1</v>
      </c>
      <c r="AN74" s="13"/>
      <c r="AO74" s="15">
        <v>0</v>
      </c>
      <c r="AP74" s="7"/>
    </row>
    <row r="75" spans="1:42" hidden="1" outlineLevel="1" x14ac:dyDescent="0.3">
      <c r="A75" s="1"/>
      <c r="B75" s="2">
        <v>0</v>
      </c>
      <c r="C75" s="2">
        <v>0</v>
      </c>
      <c r="D75" s="1" t="s">
        <v>58</v>
      </c>
      <c r="E75" s="13"/>
      <c r="F75" s="14"/>
      <c r="G75" s="15">
        <v>1</v>
      </c>
      <c r="H75" s="14"/>
      <c r="I75" s="14"/>
      <c r="J75" s="14"/>
      <c r="K75" s="15">
        <v>1</v>
      </c>
      <c r="L75" s="14"/>
      <c r="M75" s="15">
        <v>1</v>
      </c>
      <c r="N75" s="14"/>
      <c r="O75" s="15">
        <v>1</v>
      </c>
      <c r="P75" s="14"/>
      <c r="Q75" s="15">
        <v>1</v>
      </c>
      <c r="R75" s="14"/>
      <c r="S75" s="12"/>
      <c r="T75" s="14"/>
      <c r="U75" s="15">
        <v>1</v>
      </c>
      <c r="V75" s="14"/>
      <c r="W75" s="15">
        <v>1</v>
      </c>
      <c r="X75" s="13"/>
      <c r="Y75" s="13"/>
      <c r="Z75" s="13"/>
      <c r="AA75" s="13"/>
      <c r="AB75" s="13"/>
      <c r="AC75" s="15">
        <v>1</v>
      </c>
      <c r="AD75" s="13"/>
      <c r="AE75" s="15">
        <v>1</v>
      </c>
      <c r="AF75" s="13"/>
      <c r="AG75" s="13"/>
      <c r="AH75" s="13"/>
      <c r="AI75" s="15">
        <v>1</v>
      </c>
      <c r="AJ75" s="13"/>
      <c r="AK75" s="15">
        <v>1</v>
      </c>
      <c r="AL75" s="13"/>
      <c r="AM75" s="15">
        <v>1</v>
      </c>
      <c r="AN75" s="13"/>
      <c r="AO75" s="15">
        <v>1</v>
      </c>
      <c r="AP75" s="7"/>
    </row>
    <row r="76" spans="1:42" collapsed="1" x14ac:dyDescent="0.3">
      <c r="A76" s="1" t="s">
        <v>71</v>
      </c>
      <c r="B76" s="2"/>
      <c r="C76" s="2"/>
      <c r="D76" s="1"/>
      <c r="E76" s="13"/>
      <c r="F76" s="14"/>
      <c r="G76" s="20" t="str">
        <f>BitsTo32Bit(G77:G91)</f>
        <v>2</v>
      </c>
      <c r="H76" s="14"/>
      <c r="I76" s="14"/>
      <c r="J76" s="14"/>
      <c r="K76" s="20" t="str">
        <f>BitsTo32Bit(K77:K91)</f>
        <v>2</v>
      </c>
      <c r="L76" s="14"/>
      <c r="M76" s="20" t="str">
        <f>BitsTo32Bit(M77:M91)</f>
        <v>$M$81 should be less than or equal to 1</v>
      </c>
      <c r="N76" s="14"/>
      <c r="O76" s="20" t="str">
        <f>BitsTo32Bit(O77:O91)</f>
        <v>2</v>
      </c>
      <c r="P76" s="14"/>
      <c r="Q76" s="20" t="str">
        <f>BitsTo32Bit(Q77:Q91)</f>
        <v>2</v>
      </c>
      <c r="R76" s="14"/>
      <c r="S76" s="14"/>
      <c r="T76" s="14"/>
      <c r="U76" s="14"/>
      <c r="V76" s="14"/>
      <c r="W76" s="14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7"/>
    </row>
    <row r="77" spans="1:42" hidden="1" outlineLevel="1" x14ac:dyDescent="0.3">
      <c r="A77" s="1"/>
      <c r="B77" s="2">
        <v>31</v>
      </c>
      <c r="C77" s="2">
        <v>17</v>
      </c>
      <c r="D77" s="1" t="s">
        <v>1</v>
      </c>
      <c r="E77" s="13"/>
      <c r="F77" s="14"/>
      <c r="G77" s="15">
        <v>0</v>
      </c>
      <c r="H77" s="14"/>
      <c r="I77" s="14"/>
      <c r="J77" s="14"/>
      <c r="K77" s="15">
        <v>0</v>
      </c>
      <c r="L77" s="14"/>
      <c r="M77" s="15">
        <v>0</v>
      </c>
      <c r="N77" s="14"/>
      <c r="O77" s="15">
        <v>0</v>
      </c>
      <c r="P77" s="14"/>
      <c r="Q77" s="15">
        <v>0</v>
      </c>
      <c r="R77" s="14"/>
      <c r="S77" s="14"/>
      <c r="T77" s="14"/>
      <c r="U77" s="14"/>
      <c r="V77" s="14"/>
      <c r="W77" s="14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7"/>
    </row>
    <row r="78" spans="1:42" hidden="1" outlineLevel="1" x14ac:dyDescent="0.3">
      <c r="A78" s="1"/>
      <c r="B78" s="2">
        <v>16</v>
      </c>
      <c r="C78" s="2">
        <v>16</v>
      </c>
      <c r="D78" s="1" t="s">
        <v>307</v>
      </c>
      <c r="E78" s="13"/>
      <c r="F78" s="14"/>
      <c r="G78" s="15">
        <v>0</v>
      </c>
      <c r="H78" s="14"/>
      <c r="I78" s="14"/>
      <c r="J78" s="14"/>
      <c r="K78" s="15">
        <v>0</v>
      </c>
      <c r="L78" s="14"/>
      <c r="M78" s="15">
        <v>0</v>
      </c>
      <c r="N78" s="14"/>
      <c r="O78" s="15">
        <v>0</v>
      </c>
      <c r="P78" s="14"/>
      <c r="Q78" s="15">
        <v>0</v>
      </c>
      <c r="R78" s="14"/>
      <c r="S78" s="14"/>
      <c r="T78" s="14"/>
      <c r="U78" s="14"/>
      <c r="V78" s="14"/>
      <c r="W78" s="14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7"/>
    </row>
    <row r="79" spans="1:42" hidden="1" outlineLevel="1" x14ac:dyDescent="0.3">
      <c r="A79" s="1"/>
      <c r="B79" s="2">
        <v>15</v>
      </c>
      <c r="C79" s="2">
        <v>15</v>
      </c>
      <c r="D79" s="1" t="s">
        <v>72</v>
      </c>
      <c r="E79" s="13"/>
      <c r="F79" s="14"/>
      <c r="G79" s="15">
        <v>0</v>
      </c>
      <c r="H79" s="14"/>
      <c r="I79" s="14"/>
      <c r="J79" s="14"/>
      <c r="K79" s="15">
        <v>0</v>
      </c>
      <c r="L79" s="14"/>
      <c r="M79" s="15">
        <v>0</v>
      </c>
      <c r="N79" s="14"/>
      <c r="O79" s="15">
        <v>0</v>
      </c>
      <c r="P79" s="14"/>
      <c r="Q79" s="15">
        <v>0</v>
      </c>
      <c r="R79" s="14"/>
      <c r="S79" s="14"/>
      <c r="T79" s="14"/>
      <c r="U79" s="14"/>
      <c r="V79" s="14"/>
      <c r="W79" s="14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7"/>
    </row>
    <row r="80" spans="1:42" hidden="1" outlineLevel="1" x14ac:dyDescent="0.3">
      <c r="A80" s="1"/>
      <c r="B80" s="2">
        <v>14</v>
      </c>
      <c r="C80" s="2">
        <v>14</v>
      </c>
      <c r="D80" s="1" t="s">
        <v>73</v>
      </c>
      <c r="E80" s="13"/>
      <c r="F80" s="14"/>
      <c r="G80" s="15">
        <v>1</v>
      </c>
      <c r="H80" s="14"/>
      <c r="I80" s="14"/>
      <c r="J80" s="14"/>
      <c r="K80" s="15">
        <v>1</v>
      </c>
      <c r="L80" s="14"/>
      <c r="M80" s="15">
        <v>1</v>
      </c>
      <c r="N80" s="14"/>
      <c r="O80" s="15">
        <v>1</v>
      </c>
      <c r="P80" s="14"/>
      <c r="Q80" s="15">
        <v>1</v>
      </c>
      <c r="R80" s="14"/>
      <c r="S80" s="14"/>
      <c r="T80" s="14"/>
      <c r="U80" s="14"/>
      <c r="V80" s="14"/>
      <c r="W80" s="14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7"/>
    </row>
    <row r="81" spans="1:42" hidden="1" outlineLevel="1" x14ac:dyDescent="0.3">
      <c r="A81" s="1"/>
      <c r="B81" s="2">
        <v>13</v>
      </c>
      <c r="C81" s="2">
        <v>12</v>
      </c>
      <c r="D81" s="1" t="s">
        <v>74</v>
      </c>
      <c r="E81" s="13"/>
      <c r="F81" s="14"/>
      <c r="G81" s="18">
        <v>0</v>
      </c>
      <c r="H81" s="14"/>
      <c r="I81" s="14"/>
      <c r="J81" s="14"/>
      <c r="K81" s="18">
        <v>0</v>
      </c>
      <c r="L81" s="14"/>
      <c r="M81" s="18">
        <v>3</v>
      </c>
      <c r="N81" s="14"/>
      <c r="O81" s="18">
        <v>0</v>
      </c>
      <c r="P81" s="14"/>
      <c r="Q81" s="18">
        <v>0</v>
      </c>
      <c r="R81" s="14"/>
      <c r="S81" s="14"/>
      <c r="T81" s="14"/>
      <c r="U81" s="14"/>
      <c r="V81" s="14"/>
      <c r="W81" s="14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7"/>
    </row>
    <row r="82" spans="1:42" hidden="1" outlineLevel="1" x14ac:dyDescent="0.3">
      <c r="A82" s="1"/>
      <c r="B82" s="2">
        <v>11</v>
      </c>
      <c r="C82" s="2">
        <v>10</v>
      </c>
      <c r="D82" s="1" t="s">
        <v>75</v>
      </c>
      <c r="E82" s="13"/>
      <c r="F82" s="14"/>
      <c r="G82" s="18">
        <v>0</v>
      </c>
      <c r="H82" s="14"/>
      <c r="I82" s="14"/>
      <c r="J82" s="14"/>
      <c r="K82" s="18">
        <v>0</v>
      </c>
      <c r="L82" s="14"/>
      <c r="M82" s="18">
        <v>0</v>
      </c>
      <c r="N82" s="14"/>
      <c r="O82" s="18">
        <v>0</v>
      </c>
      <c r="P82" s="14"/>
      <c r="Q82" s="18">
        <v>0</v>
      </c>
      <c r="R82" s="14"/>
      <c r="S82" s="14"/>
      <c r="T82" s="14"/>
      <c r="U82" s="14"/>
      <c r="V82" s="14"/>
      <c r="W82" s="14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7"/>
    </row>
    <row r="83" spans="1:42" hidden="1" outlineLevel="1" x14ac:dyDescent="0.3">
      <c r="A83" s="1"/>
      <c r="B83" s="2">
        <v>9</v>
      </c>
      <c r="C83" s="2">
        <v>9</v>
      </c>
      <c r="D83" s="1" t="s">
        <v>76</v>
      </c>
      <c r="E83" s="13"/>
      <c r="F83" s="14"/>
      <c r="G83" s="15">
        <v>0</v>
      </c>
      <c r="H83" s="14"/>
      <c r="I83" s="14"/>
      <c r="J83" s="14"/>
      <c r="K83" s="15">
        <v>0</v>
      </c>
      <c r="L83" s="14"/>
      <c r="M83" s="15">
        <v>0</v>
      </c>
      <c r="N83" s="14"/>
      <c r="O83" s="15">
        <v>0</v>
      </c>
      <c r="P83" s="14"/>
      <c r="Q83" s="15">
        <v>0</v>
      </c>
      <c r="R83" s="14"/>
      <c r="S83" s="14"/>
      <c r="T83" s="14"/>
      <c r="U83" s="14"/>
      <c r="V83" s="14"/>
      <c r="W83" s="14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7"/>
    </row>
    <row r="84" spans="1:42" hidden="1" outlineLevel="1" x14ac:dyDescent="0.3">
      <c r="A84" s="1"/>
      <c r="B84" s="2">
        <v>8</v>
      </c>
      <c r="C84" s="2">
        <v>8</v>
      </c>
      <c r="D84" s="1" t="s">
        <v>77</v>
      </c>
      <c r="E84" s="13"/>
      <c r="F84" s="14"/>
      <c r="G84" s="15">
        <v>0</v>
      </c>
      <c r="H84" s="14"/>
      <c r="I84" s="14"/>
      <c r="J84" s="14"/>
      <c r="K84" s="15">
        <v>0</v>
      </c>
      <c r="L84" s="14"/>
      <c r="M84" s="15">
        <v>0</v>
      </c>
      <c r="N84" s="14"/>
      <c r="O84" s="15">
        <v>0</v>
      </c>
      <c r="P84" s="14"/>
      <c r="Q84" s="15">
        <v>0</v>
      </c>
      <c r="R84" s="14"/>
      <c r="S84" s="14"/>
      <c r="T84" s="14"/>
      <c r="U84" s="14"/>
      <c r="V84" s="14"/>
      <c r="W84" s="14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7"/>
    </row>
    <row r="85" spans="1:42" hidden="1" outlineLevel="1" x14ac:dyDescent="0.3">
      <c r="A85" s="1"/>
      <c r="B85" s="2">
        <v>7</v>
      </c>
      <c r="C85" s="2">
        <v>7</v>
      </c>
      <c r="D85" s="1" t="s">
        <v>78</v>
      </c>
      <c r="E85" s="13"/>
      <c r="F85" s="14"/>
      <c r="G85" s="15">
        <v>1</v>
      </c>
      <c r="H85" s="14"/>
      <c r="I85" s="14"/>
      <c r="J85" s="14"/>
      <c r="K85" s="15">
        <v>1</v>
      </c>
      <c r="L85" s="14"/>
      <c r="M85" s="15">
        <v>1</v>
      </c>
      <c r="N85" s="14"/>
      <c r="O85" s="15">
        <v>1</v>
      </c>
      <c r="P85" s="14"/>
      <c r="Q85" s="15">
        <v>1</v>
      </c>
      <c r="R85" s="14"/>
      <c r="S85" s="14"/>
      <c r="T85" s="14"/>
      <c r="U85" s="14"/>
      <c r="V85" s="14"/>
      <c r="W85" s="14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7"/>
    </row>
    <row r="86" spans="1:42" hidden="1" outlineLevel="1" x14ac:dyDescent="0.3">
      <c r="A86" s="1"/>
      <c r="B86" s="2">
        <v>6</v>
      </c>
      <c r="C86" s="2">
        <v>6</v>
      </c>
      <c r="D86" s="1" t="s">
        <v>79</v>
      </c>
      <c r="E86" s="13"/>
      <c r="F86" s="14"/>
      <c r="G86" s="15">
        <v>0</v>
      </c>
      <c r="H86" s="14"/>
      <c r="I86" s="14"/>
      <c r="J86" s="14"/>
      <c r="K86" s="15">
        <v>0</v>
      </c>
      <c r="L86" s="14"/>
      <c r="M86" s="15">
        <v>0</v>
      </c>
      <c r="N86" s="14"/>
      <c r="O86" s="15">
        <v>0</v>
      </c>
      <c r="P86" s="14"/>
      <c r="Q86" s="15">
        <v>0</v>
      </c>
      <c r="R86" s="14"/>
      <c r="S86" s="14"/>
      <c r="T86" s="14"/>
      <c r="U86" s="14"/>
      <c r="V86" s="14"/>
      <c r="W86" s="14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7"/>
    </row>
    <row r="87" spans="1:42" hidden="1" outlineLevel="1" x14ac:dyDescent="0.3">
      <c r="A87" s="1"/>
      <c r="B87" s="2">
        <v>5</v>
      </c>
      <c r="C87" s="2">
        <v>5</v>
      </c>
      <c r="D87" s="1" t="s">
        <v>80</v>
      </c>
      <c r="E87" s="13"/>
      <c r="F87" s="14"/>
      <c r="G87" s="15">
        <v>0</v>
      </c>
      <c r="H87" s="14"/>
      <c r="I87" s="14"/>
      <c r="J87" s="14"/>
      <c r="K87" s="15">
        <v>0</v>
      </c>
      <c r="L87" s="14"/>
      <c r="M87" s="15">
        <v>0</v>
      </c>
      <c r="N87" s="14"/>
      <c r="O87" s="15">
        <v>0</v>
      </c>
      <c r="P87" s="14"/>
      <c r="Q87" s="15">
        <v>0</v>
      </c>
      <c r="R87" s="14"/>
      <c r="S87" s="14"/>
      <c r="T87" s="14"/>
      <c r="U87" s="14"/>
      <c r="V87" s="14"/>
      <c r="W87" s="14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7"/>
    </row>
    <row r="88" spans="1:42" hidden="1" outlineLevel="1" x14ac:dyDescent="0.3">
      <c r="A88" s="1"/>
      <c r="B88" s="2">
        <v>4</v>
      </c>
      <c r="C88" s="2">
        <v>4</v>
      </c>
      <c r="D88" s="1" t="s">
        <v>81</v>
      </c>
      <c r="E88" s="13"/>
      <c r="F88" s="14"/>
      <c r="G88" s="15">
        <v>0</v>
      </c>
      <c r="H88" s="14"/>
      <c r="I88" s="14"/>
      <c r="J88" s="14"/>
      <c r="K88" s="15">
        <v>0</v>
      </c>
      <c r="L88" s="14"/>
      <c r="M88" s="15">
        <v>0</v>
      </c>
      <c r="N88" s="14"/>
      <c r="O88" s="15">
        <v>0</v>
      </c>
      <c r="P88" s="14"/>
      <c r="Q88" s="15">
        <v>0</v>
      </c>
      <c r="R88" s="14"/>
      <c r="S88" s="14"/>
      <c r="T88" s="14"/>
      <c r="U88" s="14"/>
      <c r="V88" s="14"/>
      <c r="W88" s="14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7"/>
    </row>
    <row r="89" spans="1:42" hidden="1" outlineLevel="1" x14ac:dyDescent="0.3">
      <c r="A89" s="1"/>
      <c r="B89" s="2">
        <v>3</v>
      </c>
      <c r="C89" s="2">
        <v>3</v>
      </c>
      <c r="D89" s="1" t="s">
        <v>82</v>
      </c>
      <c r="E89" s="13"/>
      <c r="F89" s="14"/>
      <c r="G89" s="15">
        <v>0</v>
      </c>
      <c r="H89" s="14"/>
      <c r="I89" s="14"/>
      <c r="J89" s="14"/>
      <c r="K89" s="15">
        <v>0</v>
      </c>
      <c r="L89" s="14"/>
      <c r="M89" s="15">
        <v>0</v>
      </c>
      <c r="N89" s="14"/>
      <c r="O89" s="15">
        <v>0</v>
      </c>
      <c r="P89" s="14"/>
      <c r="Q89" s="15">
        <v>0</v>
      </c>
      <c r="R89" s="14"/>
      <c r="S89" s="14"/>
      <c r="T89" s="14"/>
      <c r="U89" s="14"/>
      <c r="V89" s="14"/>
      <c r="W89" s="14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7"/>
    </row>
    <row r="90" spans="1:42" hidden="1" outlineLevel="1" x14ac:dyDescent="0.3">
      <c r="A90" s="1"/>
      <c r="B90" s="2">
        <v>2</v>
      </c>
      <c r="C90" s="2">
        <v>2</v>
      </c>
      <c r="D90" s="1" t="s">
        <v>83</v>
      </c>
      <c r="E90" s="13"/>
      <c r="F90" s="14"/>
      <c r="G90" s="15">
        <v>0</v>
      </c>
      <c r="H90" s="14"/>
      <c r="I90" s="14"/>
      <c r="J90" s="14"/>
      <c r="K90" s="15">
        <v>0</v>
      </c>
      <c r="L90" s="14"/>
      <c r="M90" s="15">
        <v>0</v>
      </c>
      <c r="N90" s="14"/>
      <c r="O90" s="15">
        <v>0</v>
      </c>
      <c r="P90" s="14"/>
      <c r="Q90" s="15">
        <v>0</v>
      </c>
      <c r="R90" s="14"/>
      <c r="S90" s="14"/>
      <c r="T90" s="14"/>
      <c r="U90" s="14"/>
      <c r="V90" s="14"/>
      <c r="W90" s="14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7"/>
    </row>
    <row r="91" spans="1:42" hidden="1" outlineLevel="1" x14ac:dyDescent="0.3">
      <c r="A91" s="1"/>
      <c r="B91" s="2">
        <v>1</v>
      </c>
      <c r="C91" s="2">
        <v>0</v>
      </c>
      <c r="D91" s="1" t="s">
        <v>84</v>
      </c>
      <c r="E91" s="13"/>
      <c r="F91" s="14"/>
      <c r="G91" s="15">
        <v>0</v>
      </c>
      <c r="H91" s="14"/>
      <c r="I91" s="14"/>
      <c r="J91" s="14"/>
      <c r="K91" s="15">
        <v>0</v>
      </c>
      <c r="L91" s="14"/>
      <c r="M91" s="15">
        <v>0</v>
      </c>
      <c r="N91" s="14"/>
      <c r="O91" s="15">
        <v>0</v>
      </c>
      <c r="P91" s="14"/>
      <c r="Q91" s="15">
        <v>0</v>
      </c>
      <c r="R91" s="14"/>
      <c r="S91" s="14"/>
      <c r="T91" s="14"/>
      <c r="U91" s="14"/>
      <c r="V91" s="14"/>
      <c r="W91" s="14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7"/>
    </row>
    <row r="92" spans="1:42" collapsed="1" x14ac:dyDescent="0.3">
      <c r="A92" s="1" t="s">
        <v>85</v>
      </c>
      <c r="B92" s="2"/>
      <c r="C92" s="2"/>
      <c r="D92" s="1"/>
      <c r="E92" s="13"/>
      <c r="F92" s="14"/>
      <c r="G92" s="20" t="str">
        <f>BitsTo32Bit(G93:G106)</f>
        <v>6</v>
      </c>
      <c r="H92" s="14"/>
      <c r="I92" s="14"/>
      <c r="J92" s="14"/>
      <c r="K92" s="20" t="str">
        <f>BitsTo32Bit(K93:K106)</f>
        <v>4</v>
      </c>
      <c r="L92" s="14"/>
      <c r="M92" s="20" t="str">
        <f>BitsTo32Bit(M93:M106)</f>
        <v>4</v>
      </c>
      <c r="N92" s="14"/>
      <c r="O92" s="20" t="str">
        <f>BitsTo32Bit(O93:O106)</f>
        <v>4</v>
      </c>
      <c r="P92" s="14"/>
      <c r="Q92" s="20" t="str">
        <f>BitsTo32Bit(Q93:Q106)</f>
        <v>4</v>
      </c>
      <c r="R92" s="14"/>
      <c r="S92" s="14"/>
      <c r="T92" s="14"/>
      <c r="U92" s="20" t="str">
        <f>BitsTo32Bit(U93:U106)</f>
        <v>$U$106 should be less than or equal to 1</v>
      </c>
      <c r="V92" s="14"/>
      <c r="W92" s="20" t="str">
        <f>BitsTo32Bit(W93:W106)</f>
        <v>$W$106 should be less than or equal to 1</v>
      </c>
      <c r="X92" s="13"/>
      <c r="Y92" s="13"/>
      <c r="Z92" s="13"/>
      <c r="AA92" s="20" t="str">
        <f>BitsTo32Bit(AA93:AA106)</f>
        <v>2</v>
      </c>
      <c r="AB92" s="13"/>
      <c r="AC92" s="20" t="str">
        <f>BitsTo32Bit(AC93:AC106)</f>
        <v>$AC$106 should be less than or equal to 1</v>
      </c>
      <c r="AD92" s="13"/>
      <c r="AE92" s="20" t="str">
        <f>BitsTo32Bit(AE93:AE106)</f>
        <v>$AE$106 should be less than or equal to 1</v>
      </c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7"/>
    </row>
    <row r="93" spans="1:42" hidden="1" outlineLevel="1" x14ac:dyDescent="0.3">
      <c r="A93" s="1"/>
      <c r="B93" s="2">
        <v>31</v>
      </c>
      <c r="C93" s="2">
        <v>15</v>
      </c>
      <c r="D93" s="1" t="s">
        <v>1</v>
      </c>
      <c r="E93" s="13"/>
      <c r="F93" s="14"/>
      <c r="G93" s="15">
        <v>0</v>
      </c>
      <c r="H93" s="14"/>
      <c r="I93" s="14"/>
      <c r="J93" s="14"/>
      <c r="K93" s="15">
        <v>0</v>
      </c>
      <c r="L93" s="14"/>
      <c r="M93" s="15">
        <v>0</v>
      </c>
      <c r="N93" s="14"/>
      <c r="O93" s="15">
        <v>0</v>
      </c>
      <c r="P93" s="14"/>
      <c r="Q93" s="15">
        <v>0</v>
      </c>
      <c r="R93" s="14"/>
      <c r="S93" s="14"/>
      <c r="T93" s="14"/>
      <c r="U93" s="18">
        <v>0</v>
      </c>
      <c r="V93" s="14"/>
      <c r="W93" s="18">
        <v>0</v>
      </c>
      <c r="X93" s="13"/>
      <c r="Y93" s="13"/>
      <c r="Z93" s="13"/>
      <c r="AA93" s="18">
        <v>0</v>
      </c>
      <c r="AB93" s="13"/>
      <c r="AC93" s="18">
        <v>0</v>
      </c>
      <c r="AD93" s="13"/>
      <c r="AE93" s="18">
        <v>0</v>
      </c>
      <c r="AF93" s="13"/>
      <c r="AG93" s="16"/>
      <c r="AH93" s="13"/>
      <c r="AI93" s="13"/>
      <c r="AJ93" s="13"/>
      <c r="AK93" s="13"/>
      <c r="AL93" s="13"/>
      <c r="AM93" s="13"/>
      <c r="AN93" s="13"/>
      <c r="AO93" s="13"/>
      <c r="AP93" s="7"/>
    </row>
    <row r="94" spans="1:42" hidden="1" outlineLevel="1" x14ac:dyDescent="0.3">
      <c r="A94" s="1"/>
      <c r="B94" s="2">
        <v>14</v>
      </c>
      <c r="C94" s="2">
        <v>14</v>
      </c>
      <c r="D94" s="1" t="s">
        <v>308</v>
      </c>
      <c r="E94" s="13"/>
      <c r="F94" s="14"/>
      <c r="G94" s="15">
        <v>1</v>
      </c>
      <c r="H94" s="14"/>
      <c r="I94" s="14"/>
      <c r="J94" s="14"/>
      <c r="K94" s="15">
        <v>0</v>
      </c>
      <c r="L94" s="14"/>
      <c r="M94" s="15">
        <v>0</v>
      </c>
      <c r="N94" s="14"/>
      <c r="O94" s="15">
        <v>0</v>
      </c>
      <c r="P94" s="14"/>
      <c r="Q94" s="15">
        <v>0</v>
      </c>
      <c r="R94" s="14"/>
      <c r="S94" s="14"/>
      <c r="T94" s="14"/>
      <c r="U94" s="18">
        <v>1</v>
      </c>
      <c r="V94" s="14"/>
      <c r="W94" s="18">
        <v>1</v>
      </c>
      <c r="X94" s="13"/>
      <c r="Y94" s="13"/>
      <c r="Z94" s="13"/>
      <c r="AA94" s="18">
        <v>0</v>
      </c>
      <c r="AB94" s="13"/>
      <c r="AC94" s="18">
        <v>1</v>
      </c>
      <c r="AD94" s="13"/>
      <c r="AE94" s="18">
        <v>1</v>
      </c>
      <c r="AF94" s="13"/>
      <c r="AG94" s="16"/>
      <c r="AH94" s="13"/>
      <c r="AI94" s="13"/>
      <c r="AJ94" s="13"/>
      <c r="AK94" s="13"/>
      <c r="AL94" s="13"/>
      <c r="AM94" s="13"/>
      <c r="AN94" s="13"/>
      <c r="AO94" s="13"/>
      <c r="AP94" s="7"/>
    </row>
    <row r="95" spans="1:42" hidden="1" outlineLevel="1" x14ac:dyDescent="0.3">
      <c r="A95" s="1"/>
      <c r="B95" s="2">
        <v>13</v>
      </c>
      <c r="C95" s="2">
        <v>13</v>
      </c>
      <c r="D95" s="1" t="s">
        <v>309</v>
      </c>
      <c r="E95" s="13"/>
      <c r="F95" s="14"/>
      <c r="G95" s="15">
        <v>1</v>
      </c>
      <c r="H95" s="14"/>
      <c r="I95" s="14"/>
      <c r="J95" s="14"/>
      <c r="K95" s="15">
        <v>0</v>
      </c>
      <c r="L95" s="14"/>
      <c r="M95" s="15">
        <v>0</v>
      </c>
      <c r="N95" s="14"/>
      <c r="O95" s="15">
        <v>0</v>
      </c>
      <c r="P95" s="14"/>
      <c r="Q95" s="15">
        <v>0</v>
      </c>
      <c r="R95" s="14"/>
      <c r="S95" s="14"/>
      <c r="T95" s="14"/>
      <c r="U95" s="18">
        <v>1</v>
      </c>
      <c r="V95" s="14"/>
      <c r="W95" s="18">
        <v>1</v>
      </c>
      <c r="X95" s="13"/>
      <c r="Y95" s="13"/>
      <c r="Z95" s="13"/>
      <c r="AA95" s="18">
        <v>0</v>
      </c>
      <c r="AB95" s="13"/>
      <c r="AC95" s="18">
        <v>1</v>
      </c>
      <c r="AD95" s="13"/>
      <c r="AE95" s="18">
        <v>1</v>
      </c>
      <c r="AF95" s="13"/>
      <c r="AG95" s="16"/>
      <c r="AH95" s="13"/>
      <c r="AI95" s="13"/>
      <c r="AJ95" s="13"/>
      <c r="AK95" s="13"/>
      <c r="AL95" s="13"/>
      <c r="AM95" s="13"/>
      <c r="AN95" s="13"/>
      <c r="AO95" s="13"/>
      <c r="AP95" s="7"/>
    </row>
    <row r="96" spans="1:42" hidden="1" outlineLevel="1" x14ac:dyDescent="0.3">
      <c r="A96" s="1"/>
      <c r="B96" s="2">
        <v>12</v>
      </c>
      <c r="C96" s="2">
        <v>12</v>
      </c>
      <c r="D96" s="1" t="s">
        <v>86</v>
      </c>
      <c r="E96" s="13"/>
      <c r="F96" s="14"/>
      <c r="G96" s="15">
        <v>0</v>
      </c>
      <c r="H96" s="14"/>
      <c r="I96" s="14"/>
      <c r="J96" s="14"/>
      <c r="K96" s="15">
        <v>0</v>
      </c>
      <c r="L96" s="14"/>
      <c r="M96" s="15">
        <v>0</v>
      </c>
      <c r="N96" s="14"/>
      <c r="O96" s="15">
        <v>1</v>
      </c>
      <c r="P96" s="14"/>
      <c r="Q96" s="15">
        <v>1</v>
      </c>
      <c r="R96" s="14"/>
      <c r="S96" s="14"/>
      <c r="T96" s="14"/>
      <c r="U96" s="18">
        <v>0</v>
      </c>
      <c r="V96" s="14"/>
      <c r="W96" s="18">
        <v>0</v>
      </c>
      <c r="X96" s="13"/>
      <c r="Y96" s="13"/>
      <c r="Z96" s="13"/>
      <c r="AA96" s="18">
        <v>0</v>
      </c>
      <c r="AB96" s="13"/>
      <c r="AC96" s="18">
        <v>0</v>
      </c>
      <c r="AD96" s="13"/>
      <c r="AE96" s="18">
        <v>0</v>
      </c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7"/>
    </row>
    <row r="97" spans="1:42" hidden="1" outlineLevel="1" x14ac:dyDescent="0.3">
      <c r="A97" s="1"/>
      <c r="B97" s="2">
        <v>11</v>
      </c>
      <c r="C97" s="2">
        <v>11</v>
      </c>
      <c r="D97" s="1" t="s">
        <v>87</v>
      </c>
      <c r="E97" s="13"/>
      <c r="F97" s="14"/>
      <c r="G97" s="15">
        <v>1</v>
      </c>
      <c r="H97" s="14"/>
      <c r="I97" s="14"/>
      <c r="J97" s="14"/>
      <c r="K97" s="15">
        <v>1</v>
      </c>
      <c r="L97" s="14"/>
      <c r="M97" s="15">
        <v>1</v>
      </c>
      <c r="N97" s="14"/>
      <c r="O97" s="15">
        <v>0</v>
      </c>
      <c r="P97" s="14"/>
      <c r="Q97" s="15">
        <v>0</v>
      </c>
      <c r="R97" s="14"/>
      <c r="S97" s="14"/>
      <c r="T97" s="14"/>
      <c r="U97" s="18">
        <v>0</v>
      </c>
      <c r="V97" s="14"/>
      <c r="W97" s="18">
        <v>0</v>
      </c>
      <c r="X97" s="13"/>
      <c r="Y97" s="13"/>
      <c r="Z97" s="13"/>
      <c r="AA97" s="18">
        <v>0</v>
      </c>
      <c r="AB97" s="13"/>
      <c r="AC97" s="18">
        <v>0</v>
      </c>
      <c r="AD97" s="13"/>
      <c r="AE97" s="18">
        <v>0</v>
      </c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7"/>
    </row>
    <row r="98" spans="1:42" hidden="1" outlineLevel="1" x14ac:dyDescent="0.3">
      <c r="A98" s="1"/>
      <c r="B98" s="2">
        <v>10</v>
      </c>
      <c r="C98" s="2">
        <v>10</v>
      </c>
      <c r="D98" s="1" t="s">
        <v>88</v>
      </c>
      <c r="E98" s="13"/>
      <c r="F98" s="14"/>
      <c r="G98" s="15">
        <v>0</v>
      </c>
      <c r="H98" s="14"/>
      <c r="I98" s="14"/>
      <c r="J98" s="14"/>
      <c r="K98" s="15">
        <v>0</v>
      </c>
      <c r="L98" s="14"/>
      <c r="M98" s="15">
        <v>0</v>
      </c>
      <c r="N98" s="14"/>
      <c r="O98" s="15">
        <v>0</v>
      </c>
      <c r="P98" s="14"/>
      <c r="Q98" s="15">
        <v>0</v>
      </c>
      <c r="R98" s="14"/>
      <c r="S98" s="14"/>
      <c r="T98" s="14"/>
      <c r="U98" s="18">
        <v>0</v>
      </c>
      <c r="V98" s="14"/>
      <c r="W98" s="18">
        <v>0</v>
      </c>
      <c r="X98" s="13"/>
      <c r="Y98" s="13"/>
      <c r="Z98" s="13"/>
      <c r="AA98" s="18">
        <v>0</v>
      </c>
      <c r="AB98" s="13"/>
      <c r="AC98" s="18">
        <v>0</v>
      </c>
      <c r="AD98" s="13"/>
      <c r="AE98" s="18">
        <v>0</v>
      </c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7"/>
    </row>
    <row r="99" spans="1:42" hidden="1" outlineLevel="1" x14ac:dyDescent="0.3">
      <c r="A99" s="1"/>
      <c r="B99" s="2">
        <v>9</v>
      </c>
      <c r="C99" s="2">
        <v>9</v>
      </c>
      <c r="D99" s="1" t="s">
        <v>89</v>
      </c>
      <c r="E99" s="13"/>
      <c r="F99" s="14"/>
      <c r="G99" s="15">
        <v>1</v>
      </c>
      <c r="H99" s="14"/>
      <c r="I99" s="14"/>
      <c r="J99" s="14"/>
      <c r="K99" s="15">
        <v>0</v>
      </c>
      <c r="L99" s="14"/>
      <c r="M99" s="15">
        <v>0</v>
      </c>
      <c r="N99" s="14"/>
      <c r="O99" s="15">
        <v>0</v>
      </c>
      <c r="P99" s="14"/>
      <c r="Q99" s="15">
        <v>0</v>
      </c>
      <c r="R99" s="14"/>
      <c r="S99" s="14"/>
      <c r="T99" s="14"/>
      <c r="U99" s="18">
        <v>1</v>
      </c>
      <c r="V99" s="14"/>
      <c r="W99" s="18">
        <v>1</v>
      </c>
      <c r="X99" s="13"/>
      <c r="Y99" s="13"/>
      <c r="Z99" s="13"/>
      <c r="AA99" s="18">
        <v>0</v>
      </c>
      <c r="AB99" s="13"/>
      <c r="AC99" s="18">
        <v>1</v>
      </c>
      <c r="AD99" s="13"/>
      <c r="AE99" s="18">
        <v>1</v>
      </c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7"/>
    </row>
    <row r="100" spans="1:42" hidden="1" outlineLevel="1" x14ac:dyDescent="0.3">
      <c r="A100" s="1"/>
      <c r="B100" s="2">
        <v>8</v>
      </c>
      <c r="C100" s="2">
        <v>8</v>
      </c>
      <c r="D100" s="1" t="s">
        <v>90</v>
      </c>
      <c r="E100" s="13"/>
      <c r="F100" s="14"/>
      <c r="G100" s="15">
        <v>1</v>
      </c>
      <c r="H100" s="14"/>
      <c r="I100" s="14"/>
      <c r="J100" s="14"/>
      <c r="K100" s="15">
        <v>1</v>
      </c>
      <c r="L100" s="14"/>
      <c r="M100" s="15">
        <v>1</v>
      </c>
      <c r="N100" s="14"/>
      <c r="O100" s="15">
        <v>1</v>
      </c>
      <c r="P100" s="14"/>
      <c r="Q100" s="15">
        <v>1</v>
      </c>
      <c r="R100" s="14"/>
      <c r="S100" s="14"/>
      <c r="T100" s="14"/>
      <c r="U100" s="18">
        <v>0</v>
      </c>
      <c r="V100" s="14"/>
      <c r="W100" s="18">
        <v>0</v>
      </c>
      <c r="X100" s="13"/>
      <c r="Y100" s="13"/>
      <c r="Z100" s="13"/>
      <c r="AA100" s="18">
        <v>1</v>
      </c>
      <c r="AB100" s="13"/>
      <c r="AC100" s="18">
        <v>0</v>
      </c>
      <c r="AD100" s="13"/>
      <c r="AE100" s="18">
        <v>0</v>
      </c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7"/>
    </row>
    <row r="101" spans="1:42" hidden="1" outlineLevel="1" x14ac:dyDescent="0.3">
      <c r="A101" s="1"/>
      <c r="B101" s="2">
        <v>7</v>
      </c>
      <c r="C101" s="2">
        <v>7</v>
      </c>
      <c r="D101" s="1" t="s">
        <v>91</v>
      </c>
      <c r="E101" s="13"/>
      <c r="F101" s="14"/>
      <c r="G101" s="15">
        <v>0</v>
      </c>
      <c r="H101" s="14"/>
      <c r="I101" s="14"/>
      <c r="J101" s="14"/>
      <c r="K101" s="15">
        <v>0</v>
      </c>
      <c r="L101" s="14"/>
      <c r="M101" s="15">
        <v>0</v>
      </c>
      <c r="N101" s="14"/>
      <c r="O101" s="15">
        <v>0</v>
      </c>
      <c r="P101" s="14"/>
      <c r="Q101" s="15">
        <v>0</v>
      </c>
      <c r="R101" s="14"/>
      <c r="S101" s="14"/>
      <c r="T101" s="14"/>
      <c r="U101" s="18">
        <v>0</v>
      </c>
      <c r="V101" s="14"/>
      <c r="W101" s="18">
        <v>0</v>
      </c>
      <c r="X101" s="13"/>
      <c r="Y101" s="13"/>
      <c r="Z101" s="13"/>
      <c r="AA101" s="18">
        <v>0</v>
      </c>
      <c r="AB101" s="13"/>
      <c r="AC101" s="18">
        <v>0</v>
      </c>
      <c r="AD101" s="13"/>
      <c r="AE101" s="18">
        <v>0</v>
      </c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7"/>
    </row>
    <row r="102" spans="1:42" hidden="1" outlineLevel="1" x14ac:dyDescent="0.3">
      <c r="A102" s="1"/>
      <c r="B102" s="2">
        <v>6</v>
      </c>
      <c r="C102" s="2">
        <v>6</v>
      </c>
      <c r="D102" s="1" t="s">
        <v>92</v>
      </c>
      <c r="E102" s="13"/>
      <c r="F102" s="14"/>
      <c r="G102" s="18">
        <v>1</v>
      </c>
      <c r="H102" s="14"/>
      <c r="I102" s="14"/>
      <c r="J102" s="14"/>
      <c r="K102" s="18">
        <v>1</v>
      </c>
      <c r="L102" s="14"/>
      <c r="M102" s="18">
        <v>1</v>
      </c>
      <c r="N102" s="14"/>
      <c r="O102" s="18">
        <v>1</v>
      </c>
      <c r="P102" s="14"/>
      <c r="Q102" s="18">
        <v>1</v>
      </c>
      <c r="R102" s="14"/>
      <c r="S102" s="14"/>
      <c r="T102" s="14"/>
      <c r="U102" s="18">
        <v>0</v>
      </c>
      <c r="V102" s="14"/>
      <c r="W102" s="18">
        <v>0</v>
      </c>
      <c r="X102" s="13"/>
      <c r="Y102" s="13"/>
      <c r="Z102" s="13"/>
      <c r="AA102" s="18">
        <v>0</v>
      </c>
      <c r="AB102" s="13"/>
      <c r="AC102" s="18">
        <v>0</v>
      </c>
      <c r="AD102" s="13"/>
      <c r="AE102" s="18">
        <v>0</v>
      </c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7"/>
    </row>
    <row r="103" spans="1:42" hidden="1" outlineLevel="1" x14ac:dyDescent="0.3">
      <c r="A103" s="1"/>
      <c r="B103" s="2">
        <v>5</v>
      </c>
      <c r="C103" s="2">
        <v>5</v>
      </c>
      <c r="D103" s="1" t="s">
        <v>93</v>
      </c>
      <c r="E103" s="13"/>
      <c r="F103" s="14"/>
      <c r="G103" s="15">
        <f>IF($G$98 = 1, 1, 0)</f>
        <v>0</v>
      </c>
      <c r="H103" s="14"/>
      <c r="I103" s="14"/>
      <c r="J103" s="14"/>
      <c r="K103" s="15">
        <v>0</v>
      </c>
      <c r="L103" s="14"/>
      <c r="M103" s="15">
        <v>0</v>
      </c>
      <c r="N103" s="14"/>
      <c r="O103" s="15">
        <v>0</v>
      </c>
      <c r="P103" s="14"/>
      <c r="Q103" s="15">
        <v>0</v>
      </c>
      <c r="R103" s="14"/>
      <c r="S103" s="14"/>
      <c r="T103" s="14"/>
      <c r="U103" s="18">
        <v>0</v>
      </c>
      <c r="V103" s="14"/>
      <c r="W103" s="18">
        <v>0</v>
      </c>
      <c r="X103" s="13"/>
      <c r="Y103" s="13"/>
      <c r="Z103" s="13"/>
      <c r="AA103" s="18">
        <v>0</v>
      </c>
      <c r="AB103" s="13"/>
      <c r="AC103" s="18">
        <v>0</v>
      </c>
      <c r="AD103" s="13"/>
      <c r="AE103" s="18">
        <v>0</v>
      </c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7"/>
    </row>
    <row r="104" spans="1:42" hidden="1" outlineLevel="1" x14ac:dyDescent="0.3">
      <c r="A104" s="1"/>
      <c r="B104" s="2">
        <v>4</v>
      </c>
      <c r="C104" s="2">
        <v>3</v>
      </c>
      <c r="D104" s="1" t="s">
        <v>94</v>
      </c>
      <c r="E104" s="13"/>
      <c r="F104" s="14"/>
      <c r="G104" s="15">
        <v>0</v>
      </c>
      <c r="H104" s="14"/>
      <c r="I104" s="14"/>
      <c r="J104" s="14"/>
      <c r="K104" s="15">
        <v>0</v>
      </c>
      <c r="L104" s="14"/>
      <c r="M104" s="15">
        <v>0</v>
      </c>
      <c r="N104" s="14"/>
      <c r="O104" s="15">
        <v>0</v>
      </c>
      <c r="P104" s="14"/>
      <c r="Q104" s="15">
        <v>0</v>
      </c>
      <c r="R104" s="14"/>
      <c r="S104" s="14"/>
      <c r="T104" s="14"/>
      <c r="U104" s="18">
        <v>0</v>
      </c>
      <c r="V104" s="14"/>
      <c r="W104" s="18">
        <v>0</v>
      </c>
      <c r="X104" s="13"/>
      <c r="Y104" s="13"/>
      <c r="Z104" s="13"/>
      <c r="AA104" s="18">
        <v>0</v>
      </c>
      <c r="AB104" s="13"/>
      <c r="AC104" s="18">
        <v>0</v>
      </c>
      <c r="AD104" s="13"/>
      <c r="AE104" s="18">
        <v>0</v>
      </c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7"/>
    </row>
    <row r="105" spans="1:42" hidden="1" outlineLevel="1" x14ac:dyDescent="0.3">
      <c r="A105" s="1"/>
      <c r="B105" s="2">
        <v>2</v>
      </c>
      <c r="C105" s="2">
        <v>2</v>
      </c>
      <c r="D105" s="1" t="s">
        <v>95</v>
      </c>
      <c r="E105" s="13"/>
      <c r="F105" s="14"/>
      <c r="G105" s="15">
        <v>0</v>
      </c>
      <c r="H105" s="14"/>
      <c r="I105" s="14"/>
      <c r="J105" s="14"/>
      <c r="K105" s="15">
        <v>1</v>
      </c>
      <c r="L105" s="14"/>
      <c r="M105" s="15">
        <v>1</v>
      </c>
      <c r="N105" s="14"/>
      <c r="O105" s="15">
        <v>1</v>
      </c>
      <c r="P105" s="14"/>
      <c r="Q105" s="15">
        <v>1</v>
      </c>
      <c r="R105" s="14"/>
      <c r="S105" s="14"/>
      <c r="T105" s="14"/>
      <c r="U105" s="18">
        <v>1</v>
      </c>
      <c r="V105" s="14"/>
      <c r="W105" s="18">
        <v>1</v>
      </c>
      <c r="X105" s="13"/>
      <c r="Y105" s="13"/>
      <c r="Z105" s="13"/>
      <c r="AA105" s="18">
        <v>1</v>
      </c>
      <c r="AB105" s="13"/>
      <c r="AC105" s="18">
        <v>1</v>
      </c>
      <c r="AD105" s="13"/>
      <c r="AE105" s="18">
        <v>1</v>
      </c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7"/>
    </row>
    <row r="106" spans="1:42" hidden="1" outlineLevel="1" x14ac:dyDescent="0.3">
      <c r="A106" s="1"/>
      <c r="B106" s="2">
        <v>1</v>
      </c>
      <c r="C106" s="2">
        <v>0</v>
      </c>
      <c r="D106" s="1" t="s">
        <v>96</v>
      </c>
      <c r="E106" s="13"/>
      <c r="F106" s="14"/>
      <c r="G106" s="15">
        <v>0</v>
      </c>
      <c r="H106" s="14"/>
      <c r="I106" s="14"/>
      <c r="J106" s="14"/>
      <c r="K106" s="15">
        <v>0</v>
      </c>
      <c r="L106" s="14"/>
      <c r="M106" s="15">
        <v>0</v>
      </c>
      <c r="N106" s="14"/>
      <c r="O106" s="15">
        <v>0</v>
      </c>
      <c r="P106" s="14"/>
      <c r="Q106" s="15">
        <v>0</v>
      </c>
      <c r="R106" s="14"/>
      <c r="S106" s="14"/>
      <c r="T106" s="14"/>
      <c r="U106" s="18">
        <v>2</v>
      </c>
      <c r="V106" s="14"/>
      <c r="W106" s="18">
        <v>2</v>
      </c>
      <c r="X106" s="13"/>
      <c r="Y106" s="13"/>
      <c r="Z106" s="13"/>
      <c r="AA106" s="18">
        <v>0</v>
      </c>
      <c r="AB106" s="13"/>
      <c r="AC106" s="18">
        <v>2</v>
      </c>
      <c r="AD106" s="13"/>
      <c r="AE106" s="18">
        <v>2</v>
      </c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7"/>
    </row>
    <row r="107" spans="1:42" collapsed="1" x14ac:dyDescent="0.3">
      <c r="A107" s="1" t="s">
        <v>211</v>
      </c>
      <c r="B107" s="2"/>
      <c r="C107" s="2"/>
      <c r="D107" s="1"/>
      <c r="E107" s="13"/>
      <c r="F107" s="14"/>
      <c r="G107" s="17" t="str">
        <f>BitsTo32Bit(G108:G124)</f>
        <v>$G$116 should be less than or equal to 1</v>
      </c>
      <c r="H107" s="14"/>
      <c r="I107" s="17" t="str">
        <f>BitsTo32Bit(I108:I124)</f>
        <v>0</v>
      </c>
      <c r="J107" s="14"/>
      <c r="K107" s="16"/>
      <c r="L107" s="14"/>
      <c r="M107" s="16"/>
      <c r="N107" s="14"/>
      <c r="O107" s="16"/>
      <c r="P107" s="14"/>
      <c r="Q107" s="16"/>
      <c r="R107" s="14"/>
      <c r="S107" s="14"/>
      <c r="T107" s="14"/>
      <c r="U107" s="14"/>
      <c r="V107" s="14"/>
      <c r="W107" s="14"/>
      <c r="X107" s="13"/>
      <c r="Y107" s="13"/>
      <c r="Z107" s="13"/>
      <c r="AA107" s="13"/>
      <c r="AB107" s="13"/>
      <c r="AC107" s="13"/>
      <c r="AD107" s="13"/>
      <c r="AE107" s="13"/>
      <c r="AF107" s="13"/>
      <c r="AG107" s="16"/>
      <c r="AH107" s="13"/>
      <c r="AI107" s="13"/>
      <c r="AJ107" s="13"/>
      <c r="AK107" s="13"/>
      <c r="AL107" s="13"/>
      <c r="AM107" s="13"/>
      <c r="AN107" s="13"/>
      <c r="AO107" s="13"/>
      <c r="AP107" s="7"/>
    </row>
    <row r="108" spans="1:42" hidden="1" outlineLevel="1" x14ac:dyDescent="0.3">
      <c r="A108" s="1"/>
      <c r="B108" s="2">
        <v>31</v>
      </c>
      <c r="C108" s="2">
        <v>25</v>
      </c>
      <c r="D108" s="1" t="s">
        <v>1</v>
      </c>
      <c r="E108" s="13"/>
      <c r="F108" s="14"/>
      <c r="G108" s="15">
        <v>0</v>
      </c>
      <c r="H108" s="14"/>
      <c r="I108" s="15">
        <v>0</v>
      </c>
      <c r="J108" s="14"/>
      <c r="K108" s="16"/>
      <c r="L108" s="14"/>
      <c r="M108" s="16"/>
      <c r="N108" s="14"/>
      <c r="O108" s="16"/>
      <c r="P108" s="14"/>
      <c r="Q108" s="16"/>
      <c r="R108" s="14"/>
      <c r="S108" s="14"/>
      <c r="T108" s="14"/>
      <c r="U108" s="14"/>
      <c r="V108" s="14"/>
      <c r="W108" s="14"/>
      <c r="X108" s="13"/>
      <c r="Y108" s="13"/>
      <c r="Z108" s="13"/>
      <c r="AA108" s="13"/>
      <c r="AB108" s="13"/>
      <c r="AC108" s="13"/>
      <c r="AD108" s="13"/>
      <c r="AE108" s="13"/>
      <c r="AF108" s="13"/>
      <c r="AG108" s="16"/>
      <c r="AH108" s="13"/>
      <c r="AI108" s="13"/>
      <c r="AJ108" s="13"/>
      <c r="AK108" s="13"/>
      <c r="AL108" s="13"/>
      <c r="AM108" s="13"/>
      <c r="AN108" s="13"/>
      <c r="AO108" s="13"/>
      <c r="AP108" s="7"/>
    </row>
    <row r="109" spans="1:42" hidden="1" outlineLevel="1" x14ac:dyDescent="0.3">
      <c r="A109" s="1"/>
      <c r="B109" s="2">
        <v>24</v>
      </c>
      <c r="C109" s="2">
        <v>24</v>
      </c>
      <c r="D109" s="1" t="s">
        <v>310</v>
      </c>
      <c r="E109" s="13"/>
      <c r="F109" s="14"/>
      <c r="G109" s="15">
        <v>1</v>
      </c>
      <c r="H109" s="14"/>
      <c r="I109" s="15">
        <v>0</v>
      </c>
      <c r="J109" s="14"/>
      <c r="K109" s="16"/>
      <c r="L109" s="14"/>
      <c r="M109" s="16"/>
      <c r="N109" s="14"/>
      <c r="O109" s="16"/>
      <c r="P109" s="14"/>
      <c r="Q109" s="16"/>
      <c r="R109" s="14"/>
      <c r="S109" s="14"/>
      <c r="T109" s="14"/>
      <c r="U109" s="14"/>
      <c r="V109" s="14"/>
      <c r="W109" s="14"/>
      <c r="X109" s="13"/>
      <c r="Y109" s="13"/>
      <c r="Z109" s="13"/>
      <c r="AA109" s="13"/>
      <c r="AB109" s="13"/>
      <c r="AC109" s="13"/>
      <c r="AD109" s="13"/>
      <c r="AE109" s="13"/>
      <c r="AF109" s="13"/>
      <c r="AG109" s="16"/>
      <c r="AH109" s="13"/>
      <c r="AI109" s="13"/>
      <c r="AJ109" s="13"/>
      <c r="AK109" s="13"/>
      <c r="AL109" s="13"/>
      <c r="AM109" s="13"/>
      <c r="AN109" s="13"/>
      <c r="AO109" s="13"/>
      <c r="AP109" s="7"/>
    </row>
    <row r="110" spans="1:42" hidden="1" outlineLevel="1" x14ac:dyDescent="0.3">
      <c r="A110" s="1"/>
      <c r="B110" s="2">
        <v>23</v>
      </c>
      <c r="C110" s="2">
        <v>21</v>
      </c>
      <c r="D110" s="1" t="s">
        <v>212</v>
      </c>
      <c r="E110" s="13"/>
      <c r="F110" s="14"/>
      <c r="G110" s="15">
        <v>0</v>
      </c>
      <c r="H110" s="14"/>
      <c r="I110" s="15">
        <v>0</v>
      </c>
      <c r="J110" s="14"/>
      <c r="K110" s="16"/>
      <c r="L110" s="14"/>
      <c r="M110" s="16"/>
      <c r="N110" s="14"/>
      <c r="O110" s="16"/>
      <c r="P110" s="14"/>
      <c r="Q110" s="16"/>
      <c r="R110" s="14"/>
      <c r="S110" s="14"/>
      <c r="T110" s="14"/>
      <c r="U110" s="14"/>
      <c r="V110" s="14"/>
      <c r="W110" s="14"/>
      <c r="X110" s="13"/>
      <c r="Y110" s="13"/>
      <c r="Z110" s="13"/>
      <c r="AA110" s="13"/>
      <c r="AB110" s="13"/>
      <c r="AC110" s="13"/>
      <c r="AD110" s="13"/>
      <c r="AE110" s="13"/>
      <c r="AF110" s="13"/>
      <c r="AG110" s="16"/>
      <c r="AH110" s="13"/>
      <c r="AI110" s="13"/>
      <c r="AJ110" s="13"/>
      <c r="AK110" s="13"/>
      <c r="AL110" s="13"/>
      <c r="AM110" s="13"/>
      <c r="AN110" s="13"/>
      <c r="AO110" s="13"/>
      <c r="AP110" s="7"/>
    </row>
    <row r="111" spans="1:42" hidden="1" outlineLevel="1" x14ac:dyDescent="0.3">
      <c r="A111" s="1"/>
      <c r="B111" s="2">
        <v>20</v>
      </c>
      <c r="C111" s="2">
        <v>20</v>
      </c>
      <c r="D111" s="1" t="s">
        <v>213</v>
      </c>
      <c r="E111" s="13"/>
      <c r="F111" s="14"/>
      <c r="G111" s="15">
        <v>0</v>
      </c>
      <c r="H111" s="14"/>
      <c r="I111" s="15">
        <v>0</v>
      </c>
      <c r="J111" s="14"/>
      <c r="K111" s="16"/>
      <c r="L111" s="14"/>
      <c r="M111" s="16"/>
      <c r="N111" s="14"/>
      <c r="O111" s="16"/>
      <c r="P111" s="14"/>
      <c r="Q111" s="16"/>
      <c r="R111" s="14"/>
      <c r="S111" s="14"/>
      <c r="T111" s="14"/>
      <c r="U111" s="14"/>
      <c r="V111" s="14"/>
      <c r="W111" s="14"/>
      <c r="X111" s="13"/>
      <c r="Y111" s="13"/>
      <c r="Z111" s="13"/>
      <c r="AA111" s="13"/>
      <c r="AB111" s="13"/>
      <c r="AC111" s="13"/>
      <c r="AD111" s="13"/>
      <c r="AE111" s="13"/>
      <c r="AF111" s="13"/>
      <c r="AG111" s="16"/>
      <c r="AH111" s="13"/>
      <c r="AI111" s="13"/>
      <c r="AJ111" s="13"/>
      <c r="AK111" s="13"/>
      <c r="AL111" s="13"/>
      <c r="AM111" s="13"/>
      <c r="AN111" s="13"/>
      <c r="AO111" s="13"/>
      <c r="AP111" s="7"/>
    </row>
    <row r="112" spans="1:42" hidden="1" outlineLevel="1" x14ac:dyDescent="0.3">
      <c r="A112" s="1"/>
      <c r="B112" s="2">
        <v>19</v>
      </c>
      <c r="C112" s="2">
        <v>19</v>
      </c>
      <c r="D112" s="1" t="s">
        <v>214</v>
      </c>
      <c r="E112" s="13"/>
      <c r="F112" s="14"/>
      <c r="G112" s="15">
        <v>1</v>
      </c>
      <c r="H112" s="14"/>
      <c r="I112" s="15">
        <v>0</v>
      </c>
      <c r="J112" s="14"/>
      <c r="K112" s="16"/>
      <c r="L112" s="14"/>
      <c r="M112" s="16"/>
      <c r="N112" s="14"/>
      <c r="O112" s="16"/>
      <c r="P112" s="14"/>
      <c r="Q112" s="16"/>
      <c r="R112" s="14"/>
      <c r="S112" s="14"/>
      <c r="T112" s="14"/>
      <c r="U112" s="14"/>
      <c r="V112" s="14"/>
      <c r="W112" s="14"/>
      <c r="X112" s="13"/>
      <c r="Y112" s="13"/>
      <c r="Z112" s="13"/>
      <c r="AA112" s="13"/>
      <c r="AB112" s="13"/>
      <c r="AC112" s="13"/>
      <c r="AD112" s="13"/>
      <c r="AE112" s="13"/>
      <c r="AF112" s="13"/>
      <c r="AG112" s="16"/>
      <c r="AH112" s="13"/>
      <c r="AI112" s="13"/>
      <c r="AJ112" s="13"/>
      <c r="AK112" s="13"/>
      <c r="AL112" s="13"/>
      <c r="AM112" s="13"/>
      <c r="AN112" s="13"/>
      <c r="AO112" s="13"/>
      <c r="AP112" s="7"/>
    </row>
    <row r="113" spans="1:42" hidden="1" outlineLevel="1" x14ac:dyDescent="0.3">
      <c r="A113" s="1"/>
      <c r="B113" s="2">
        <v>18</v>
      </c>
      <c r="C113" s="2">
        <v>18</v>
      </c>
      <c r="D113" s="1" t="s">
        <v>215</v>
      </c>
      <c r="E113" s="13"/>
      <c r="F113" s="14"/>
      <c r="G113" s="15">
        <v>1</v>
      </c>
      <c r="H113" s="14"/>
      <c r="I113" s="15">
        <v>0</v>
      </c>
      <c r="J113" s="14"/>
      <c r="K113" s="16"/>
      <c r="L113" s="14"/>
      <c r="M113" s="16"/>
      <c r="N113" s="14"/>
      <c r="O113" s="16"/>
      <c r="P113" s="14"/>
      <c r="Q113" s="16"/>
      <c r="R113" s="14"/>
      <c r="S113" s="14"/>
      <c r="T113" s="14"/>
      <c r="U113" s="14"/>
      <c r="V113" s="14"/>
      <c r="W113" s="14"/>
      <c r="X113" s="13"/>
      <c r="Y113" s="13"/>
      <c r="Z113" s="13"/>
      <c r="AA113" s="13"/>
      <c r="AB113" s="13"/>
      <c r="AC113" s="13"/>
      <c r="AD113" s="13"/>
      <c r="AE113" s="13"/>
      <c r="AF113" s="13"/>
      <c r="AG113" s="16"/>
      <c r="AH113" s="13"/>
      <c r="AI113" s="13"/>
      <c r="AJ113" s="13"/>
      <c r="AK113" s="13"/>
      <c r="AL113" s="13"/>
      <c r="AM113" s="13"/>
      <c r="AN113" s="13"/>
      <c r="AO113" s="13"/>
      <c r="AP113" s="7"/>
    </row>
    <row r="114" spans="1:42" hidden="1" outlineLevel="1" x14ac:dyDescent="0.3">
      <c r="A114" s="1"/>
      <c r="B114" s="2">
        <v>17</v>
      </c>
      <c r="C114" s="2">
        <v>17</v>
      </c>
      <c r="D114" s="1" t="s">
        <v>216</v>
      </c>
      <c r="E114" s="13"/>
      <c r="F114" s="14"/>
      <c r="G114" s="15">
        <v>0</v>
      </c>
      <c r="H114" s="14"/>
      <c r="I114" s="15">
        <v>0</v>
      </c>
      <c r="J114" s="14"/>
      <c r="K114" s="16"/>
      <c r="L114" s="14"/>
      <c r="M114" s="16"/>
      <c r="N114" s="14"/>
      <c r="O114" s="16"/>
      <c r="P114" s="14"/>
      <c r="Q114" s="16"/>
      <c r="R114" s="14"/>
      <c r="S114" s="14"/>
      <c r="T114" s="14"/>
      <c r="U114" s="14"/>
      <c r="V114" s="14"/>
      <c r="W114" s="14"/>
      <c r="X114" s="13"/>
      <c r="Y114" s="13"/>
      <c r="Z114" s="13"/>
      <c r="AA114" s="13"/>
      <c r="AB114" s="13"/>
      <c r="AC114" s="13"/>
      <c r="AD114" s="13"/>
      <c r="AE114" s="13"/>
      <c r="AF114" s="13"/>
      <c r="AG114" s="16"/>
      <c r="AH114" s="13"/>
      <c r="AI114" s="13"/>
      <c r="AJ114" s="13"/>
      <c r="AK114" s="13"/>
      <c r="AL114" s="13"/>
      <c r="AM114" s="13"/>
      <c r="AN114" s="13"/>
      <c r="AO114" s="13"/>
      <c r="AP114" s="7"/>
    </row>
    <row r="115" spans="1:42" hidden="1" outlineLevel="1" x14ac:dyDescent="0.3">
      <c r="A115" s="1"/>
      <c r="B115" s="2">
        <v>16</v>
      </c>
      <c r="C115" s="2">
        <v>16</v>
      </c>
      <c r="D115" s="1" t="s">
        <v>217</v>
      </c>
      <c r="E115" s="13"/>
      <c r="F115" s="14"/>
      <c r="G115" s="15">
        <v>0</v>
      </c>
      <c r="H115" s="14"/>
      <c r="I115" s="15">
        <v>0</v>
      </c>
      <c r="J115" s="14"/>
      <c r="K115" s="16"/>
      <c r="L115" s="14"/>
      <c r="M115" s="16"/>
      <c r="N115" s="14"/>
      <c r="O115" s="16"/>
      <c r="P115" s="14"/>
      <c r="Q115" s="16"/>
      <c r="R115" s="14"/>
      <c r="S115" s="14"/>
      <c r="T115" s="14"/>
      <c r="U115" s="14"/>
      <c r="V115" s="14"/>
      <c r="W115" s="14"/>
      <c r="X115" s="13"/>
      <c r="Y115" s="13"/>
      <c r="Z115" s="13"/>
      <c r="AA115" s="13"/>
      <c r="AB115" s="13"/>
      <c r="AC115" s="13"/>
      <c r="AD115" s="13"/>
      <c r="AE115" s="13"/>
      <c r="AF115" s="13"/>
      <c r="AG115" s="16"/>
      <c r="AH115" s="13"/>
      <c r="AI115" s="13"/>
      <c r="AJ115" s="13"/>
      <c r="AK115" s="13"/>
      <c r="AL115" s="13"/>
      <c r="AM115" s="13"/>
      <c r="AN115" s="13"/>
      <c r="AO115" s="13"/>
      <c r="AP115" s="7"/>
    </row>
    <row r="116" spans="1:42" hidden="1" outlineLevel="1" x14ac:dyDescent="0.3">
      <c r="A116" s="1"/>
      <c r="B116" s="2">
        <v>15</v>
      </c>
      <c r="C116" s="2">
        <v>12</v>
      </c>
      <c r="D116" s="1" t="s">
        <v>218</v>
      </c>
      <c r="E116" s="13"/>
      <c r="F116" s="14"/>
      <c r="G116" s="15" t="s">
        <v>311</v>
      </c>
      <c r="H116" s="14"/>
      <c r="I116" s="15">
        <v>0</v>
      </c>
      <c r="J116" s="14"/>
      <c r="K116" s="16"/>
      <c r="L116" s="14"/>
      <c r="M116" s="16"/>
      <c r="N116" s="14"/>
      <c r="O116" s="16"/>
      <c r="P116" s="14"/>
      <c r="Q116" s="16"/>
      <c r="R116" s="14"/>
      <c r="S116" s="14"/>
      <c r="T116" s="14"/>
      <c r="U116" s="14"/>
      <c r="V116" s="14"/>
      <c r="W116" s="14"/>
      <c r="X116" s="13"/>
      <c r="Y116" s="13"/>
      <c r="Z116" s="13"/>
      <c r="AA116" s="13"/>
      <c r="AB116" s="13"/>
      <c r="AC116" s="13"/>
      <c r="AD116" s="13"/>
      <c r="AE116" s="13"/>
      <c r="AF116" s="13"/>
      <c r="AG116" s="16"/>
      <c r="AH116" s="13"/>
      <c r="AI116" s="13"/>
      <c r="AJ116" s="13"/>
      <c r="AK116" s="13"/>
      <c r="AL116" s="13"/>
      <c r="AM116" s="13"/>
      <c r="AN116" s="13"/>
      <c r="AO116" s="13"/>
      <c r="AP116" s="7"/>
    </row>
    <row r="117" spans="1:42" hidden="1" outlineLevel="1" x14ac:dyDescent="0.3">
      <c r="A117" s="1"/>
      <c r="B117" s="2">
        <v>11</v>
      </c>
      <c r="C117" s="2">
        <v>8</v>
      </c>
      <c r="D117" s="1" t="s">
        <v>219</v>
      </c>
      <c r="E117" s="13"/>
      <c r="F117" s="14"/>
      <c r="G117" s="15" t="s">
        <v>311</v>
      </c>
      <c r="H117" s="14"/>
      <c r="I117" s="15">
        <v>0</v>
      </c>
      <c r="J117" s="14"/>
      <c r="K117" s="16"/>
      <c r="L117" s="14"/>
      <c r="M117" s="16"/>
      <c r="N117" s="14"/>
      <c r="O117" s="16"/>
      <c r="P117" s="14"/>
      <c r="Q117" s="16"/>
      <c r="R117" s="14"/>
      <c r="S117" s="14"/>
      <c r="T117" s="14"/>
      <c r="U117" s="14"/>
      <c r="V117" s="14"/>
      <c r="W117" s="14"/>
      <c r="X117" s="13"/>
      <c r="Y117" s="13"/>
      <c r="Z117" s="13"/>
      <c r="AA117" s="13"/>
      <c r="AB117" s="13"/>
      <c r="AC117" s="13"/>
      <c r="AD117" s="13"/>
      <c r="AE117" s="13"/>
      <c r="AF117" s="13"/>
      <c r="AG117" s="16"/>
      <c r="AH117" s="13"/>
      <c r="AI117" s="13"/>
      <c r="AJ117" s="13"/>
      <c r="AK117" s="13"/>
      <c r="AL117" s="13"/>
      <c r="AM117" s="13"/>
      <c r="AN117" s="13"/>
      <c r="AO117" s="13"/>
      <c r="AP117" s="7"/>
    </row>
    <row r="118" spans="1:42" hidden="1" outlineLevel="1" x14ac:dyDescent="0.3">
      <c r="A118" s="1"/>
      <c r="B118" s="2">
        <v>7</v>
      </c>
      <c r="C118" s="2">
        <v>7</v>
      </c>
      <c r="D118" s="1" t="s">
        <v>220</v>
      </c>
      <c r="E118" s="13"/>
      <c r="F118" s="14"/>
      <c r="G118" s="15">
        <v>0</v>
      </c>
      <c r="H118" s="14"/>
      <c r="I118" s="15">
        <v>0</v>
      </c>
      <c r="J118" s="14"/>
      <c r="K118" s="16"/>
      <c r="L118" s="14"/>
      <c r="M118" s="16"/>
      <c r="N118" s="14"/>
      <c r="O118" s="16"/>
      <c r="P118" s="14"/>
      <c r="Q118" s="16"/>
      <c r="R118" s="14"/>
      <c r="S118" s="14"/>
      <c r="T118" s="14"/>
      <c r="U118" s="14"/>
      <c r="V118" s="14"/>
      <c r="W118" s="14"/>
      <c r="X118" s="13"/>
      <c r="Y118" s="13"/>
      <c r="Z118" s="13"/>
      <c r="AA118" s="13"/>
      <c r="AB118" s="13"/>
      <c r="AC118" s="13"/>
      <c r="AD118" s="13"/>
      <c r="AE118" s="13"/>
      <c r="AF118" s="13"/>
      <c r="AG118" s="16"/>
      <c r="AH118" s="13"/>
      <c r="AI118" s="13"/>
      <c r="AJ118" s="13"/>
      <c r="AK118" s="13"/>
      <c r="AL118" s="13"/>
      <c r="AM118" s="13"/>
      <c r="AN118" s="13"/>
      <c r="AO118" s="13"/>
      <c r="AP118" s="7"/>
    </row>
    <row r="119" spans="1:42" hidden="1" outlineLevel="1" x14ac:dyDescent="0.3">
      <c r="A119" s="1"/>
      <c r="B119" s="2">
        <v>6</v>
      </c>
      <c r="C119" s="2">
        <v>5</v>
      </c>
      <c r="D119" s="1" t="s">
        <v>221</v>
      </c>
      <c r="E119" s="13"/>
      <c r="F119" s="14"/>
      <c r="G119" s="15">
        <v>0</v>
      </c>
      <c r="H119" s="14"/>
      <c r="I119" s="15">
        <v>0</v>
      </c>
      <c r="J119" s="14"/>
      <c r="K119" s="16"/>
      <c r="L119" s="14"/>
      <c r="M119" s="16"/>
      <c r="N119" s="14"/>
      <c r="O119" s="16"/>
      <c r="P119" s="14"/>
      <c r="Q119" s="16"/>
      <c r="R119" s="14"/>
      <c r="S119" s="14"/>
      <c r="T119" s="14"/>
      <c r="U119" s="14"/>
      <c r="V119" s="14"/>
      <c r="W119" s="14"/>
      <c r="X119" s="13"/>
      <c r="Y119" s="13"/>
      <c r="Z119" s="13"/>
      <c r="AA119" s="13"/>
      <c r="AB119" s="13"/>
      <c r="AC119" s="13"/>
      <c r="AD119" s="13"/>
      <c r="AE119" s="13"/>
      <c r="AF119" s="13"/>
      <c r="AG119" s="16"/>
      <c r="AH119" s="13"/>
      <c r="AI119" s="13"/>
      <c r="AJ119" s="13"/>
      <c r="AK119" s="13"/>
      <c r="AL119" s="13"/>
      <c r="AM119" s="13"/>
      <c r="AN119" s="13"/>
      <c r="AO119" s="13"/>
      <c r="AP119" s="7"/>
    </row>
    <row r="120" spans="1:42" hidden="1" outlineLevel="1" x14ac:dyDescent="0.3">
      <c r="A120" s="1"/>
      <c r="B120" s="2">
        <v>4</v>
      </c>
      <c r="C120" s="2">
        <v>4</v>
      </c>
      <c r="D120" s="1" t="s">
        <v>222</v>
      </c>
      <c r="E120" s="13"/>
      <c r="F120" s="14"/>
      <c r="G120" s="15">
        <v>0</v>
      </c>
      <c r="H120" s="14"/>
      <c r="I120" s="15">
        <v>0</v>
      </c>
      <c r="J120" s="14"/>
      <c r="K120" s="16"/>
      <c r="L120" s="14"/>
      <c r="M120" s="16"/>
      <c r="N120" s="14"/>
      <c r="O120" s="16"/>
      <c r="P120" s="14"/>
      <c r="Q120" s="16"/>
      <c r="R120" s="14"/>
      <c r="S120" s="14"/>
      <c r="T120" s="14"/>
      <c r="U120" s="14"/>
      <c r="V120" s="14"/>
      <c r="W120" s="14"/>
      <c r="X120" s="13"/>
      <c r="Y120" s="13"/>
      <c r="Z120" s="13"/>
      <c r="AA120" s="13"/>
      <c r="AB120" s="13"/>
      <c r="AC120" s="13"/>
      <c r="AD120" s="13"/>
      <c r="AE120" s="13"/>
      <c r="AF120" s="13"/>
      <c r="AG120" s="16"/>
      <c r="AH120" s="13"/>
      <c r="AI120" s="13"/>
      <c r="AJ120" s="13"/>
      <c r="AK120" s="13"/>
      <c r="AL120" s="13"/>
      <c r="AM120" s="13"/>
      <c r="AN120" s="13"/>
      <c r="AO120" s="13"/>
      <c r="AP120" s="7"/>
    </row>
    <row r="121" spans="1:42" hidden="1" outlineLevel="1" x14ac:dyDescent="0.3">
      <c r="A121" s="1"/>
      <c r="B121" s="2">
        <v>3</v>
      </c>
      <c r="C121" s="2">
        <v>3</v>
      </c>
      <c r="D121" s="1" t="s">
        <v>223</v>
      </c>
      <c r="E121" s="13"/>
      <c r="F121" s="14"/>
      <c r="G121" s="15">
        <v>0</v>
      </c>
      <c r="H121" s="14"/>
      <c r="I121" s="15">
        <v>0</v>
      </c>
      <c r="J121" s="14"/>
      <c r="K121" s="16"/>
      <c r="L121" s="14"/>
      <c r="M121" s="16"/>
      <c r="N121" s="14"/>
      <c r="O121" s="16"/>
      <c r="P121" s="14"/>
      <c r="Q121" s="16"/>
      <c r="R121" s="14"/>
      <c r="S121" s="14"/>
      <c r="T121" s="14"/>
      <c r="U121" s="14"/>
      <c r="V121" s="14"/>
      <c r="W121" s="14"/>
      <c r="X121" s="13"/>
      <c r="Y121" s="13"/>
      <c r="Z121" s="13"/>
      <c r="AA121" s="13"/>
      <c r="AB121" s="13"/>
      <c r="AC121" s="13"/>
      <c r="AD121" s="13"/>
      <c r="AE121" s="13"/>
      <c r="AF121" s="13"/>
      <c r="AG121" s="16"/>
      <c r="AH121" s="13"/>
      <c r="AI121" s="13"/>
      <c r="AJ121" s="13"/>
      <c r="AK121" s="13"/>
      <c r="AL121" s="13"/>
      <c r="AM121" s="13"/>
      <c r="AN121" s="13"/>
      <c r="AO121" s="13"/>
      <c r="AP121" s="7"/>
    </row>
    <row r="122" spans="1:42" hidden="1" outlineLevel="1" x14ac:dyDescent="0.3">
      <c r="A122" s="1"/>
      <c r="B122" s="2">
        <v>2</v>
      </c>
      <c r="C122" s="2">
        <v>2</v>
      </c>
      <c r="D122" s="1" t="s">
        <v>224</v>
      </c>
      <c r="E122" s="13"/>
      <c r="F122" s="14"/>
      <c r="G122" s="15">
        <v>1</v>
      </c>
      <c r="H122" s="14"/>
      <c r="I122" s="15">
        <v>0</v>
      </c>
      <c r="J122" s="14"/>
      <c r="K122" s="16"/>
      <c r="L122" s="14"/>
      <c r="M122" s="16"/>
      <c r="N122" s="14"/>
      <c r="O122" s="16"/>
      <c r="P122" s="14"/>
      <c r="Q122" s="16"/>
      <c r="R122" s="14"/>
      <c r="S122" s="14"/>
      <c r="T122" s="14"/>
      <c r="U122" s="14"/>
      <c r="V122" s="14"/>
      <c r="W122" s="14"/>
      <c r="X122" s="13"/>
      <c r="Y122" s="13"/>
      <c r="Z122" s="13"/>
      <c r="AA122" s="13"/>
      <c r="AB122" s="13"/>
      <c r="AC122" s="13"/>
      <c r="AD122" s="13"/>
      <c r="AE122" s="13"/>
      <c r="AF122" s="13"/>
      <c r="AG122" s="16"/>
      <c r="AH122" s="13"/>
      <c r="AI122" s="13"/>
      <c r="AJ122" s="13"/>
      <c r="AK122" s="13"/>
      <c r="AL122" s="13"/>
      <c r="AM122" s="13"/>
      <c r="AN122" s="13"/>
      <c r="AO122" s="13"/>
      <c r="AP122" s="7"/>
    </row>
    <row r="123" spans="1:42" hidden="1" outlineLevel="1" x14ac:dyDescent="0.3">
      <c r="A123" s="1"/>
      <c r="B123" s="2">
        <v>1</v>
      </c>
      <c r="C123" s="2">
        <v>1</v>
      </c>
      <c r="D123" s="1" t="s">
        <v>225</v>
      </c>
      <c r="E123" s="13"/>
      <c r="F123" s="14"/>
      <c r="G123" s="15">
        <v>0</v>
      </c>
      <c r="H123" s="14"/>
      <c r="I123" s="15">
        <v>0</v>
      </c>
      <c r="J123" s="14"/>
      <c r="K123" s="16"/>
      <c r="L123" s="14"/>
      <c r="M123" s="16"/>
      <c r="N123" s="14"/>
      <c r="O123" s="16"/>
      <c r="P123" s="14"/>
      <c r="Q123" s="16"/>
      <c r="R123" s="14"/>
      <c r="S123" s="14"/>
      <c r="T123" s="14"/>
      <c r="U123" s="14"/>
      <c r="V123" s="14"/>
      <c r="W123" s="14"/>
      <c r="X123" s="13"/>
      <c r="Y123" s="13"/>
      <c r="Z123" s="13"/>
      <c r="AA123" s="13"/>
      <c r="AB123" s="13"/>
      <c r="AC123" s="13"/>
      <c r="AD123" s="13"/>
      <c r="AE123" s="13"/>
      <c r="AF123" s="13"/>
      <c r="AG123" s="16"/>
      <c r="AH123" s="13"/>
      <c r="AI123" s="13"/>
      <c r="AJ123" s="13"/>
      <c r="AK123" s="13"/>
      <c r="AL123" s="13"/>
      <c r="AM123" s="13"/>
      <c r="AN123" s="13"/>
      <c r="AO123" s="13"/>
      <c r="AP123" s="7"/>
    </row>
    <row r="124" spans="1:42" hidden="1" outlineLevel="1" x14ac:dyDescent="0.3">
      <c r="A124" s="1"/>
      <c r="B124" s="2">
        <v>0</v>
      </c>
      <c r="C124" s="2">
        <v>0</v>
      </c>
      <c r="D124" s="1" t="s">
        <v>226</v>
      </c>
      <c r="E124" s="13"/>
      <c r="F124" s="14"/>
      <c r="G124" s="15">
        <v>1</v>
      </c>
      <c r="H124" s="14"/>
      <c r="I124" s="15">
        <v>0</v>
      </c>
      <c r="J124" s="14"/>
      <c r="K124" s="16"/>
      <c r="L124" s="14"/>
      <c r="M124" s="16"/>
      <c r="N124" s="14"/>
      <c r="O124" s="16"/>
      <c r="P124" s="14"/>
      <c r="Q124" s="16"/>
      <c r="R124" s="14"/>
      <c r="S124" s="14"/>
      <c r="T124" s="14"/>
      <c r="U124" s="14"/>
      <c r="V124" s="14"/>
      <c r="W124" s="14"/>
      <c r="X124" s="13"/>
      <c r="Y124" s="13"/>
      <c r="Z124" s="13"/>
      <c r="AA124" s="13"/>
      <c r="AB124" s="13"/>
      <c r="AC124" s="13"/>
      <c r="AD124" s="13"/>
      <c r="AE124" s="13"/>
      <c r="AF124" s="13"/>
      <c r="AG124" s="16"/>
      <c r="AH124" s="13"/>
      <c r="AI124" s="13"/>
      <c r="AJ124" s="13"/>
      <c r="AK124" s="13"/>
      <c r="AL124" s="13"/>
      <c r="AM124" s="13"/>
      <c r="AN124" s="13"/>
      <c r="AO124" s="13"/>
      <c r="AP124" s="7"/>
    </row>
    <row r="125" spans="1:42" collapsed="1" x14ac:dyDescent="0.3">
      <c r="A125" s="7" t="s">
        <v>318</v>
      </c>
      <c r="E125" s="7"/>
      <c r="F125" s="12"/>
      <c r="G125" s="20" t="str">
        <f>BitsTo32Bit(G126:G133)</f>
        <v>0</v>
      </c>
      <c r="H125" s="12"/>
      <c r="I125" s="14"/>
      <c r="J125" s="12"/>
      <c r="K125" s="20" t="str">
        <f>BitsTo32Bit(K126:K133)</f>
        <v>0</v>
      </c>
      <c r="L125" s="12"/>
      <c r="M125" s="20" t="str">
        <f>BitsTo32Bit(M126:M133)</f>
        <v>0</v>
      </c>
      <c r="N125" s="12"/>
      <c r="O125" s="20" t="str">
        <f>BitsTo32Bit(O126:O133)</f>
        <v>0</v>
      </c>
      <c r="P125" s="12"/>
      <c r="Q125" s="20" t="str">
        <f>BitsTo32Bit(Q126:Q133)</f>
        <v>0</v>
      </c>
      <c r="R125" s="12"/>
      <c r="S125" s="20" t="str">
        <f>BitsTo32Bit(S126:S133)</f>
        <v>0</v>
      </c>
      <c r="T125" s="12"/>
      <c r="U125" s="12"/>
      <c r="V125" s="12"/>
      <c r="W125" s="12"/>
      <c r="X125" s="7"/>
      <c r="Y125" s="7"/>
      <c r="Z125" s="7"/>
      <c r="AA125" s="7"/>
      <c r="AB125" s="7"/>
      <c r="AC125" s="7"/>
      <c r="AD125" s="7"/>
      <c r="AE125" s="7"/>
      <c r="AF125" s="7"/>
      <c r="AG125" s="20" t="str">
        <f>BitsTo32Bit(AG126:AG133)</f>
        <v>$AG$130 should be less than or equal to 1</v>
      </c>
      <c r="AH125" s="7"/>
      <c r="AI125" s="7"/>
      <c r="AJ125" s="7"/>
      <c r="AK125" s="7"/>
      <c r="AL125" s="7"/>
      <c r="AM125" s="7"/>
      <c r="AN125" s="7"/>
      <c r="AO125" s="7"/>
      <c r="AP125" s="7"/>
    </row>
    <row r="126" spans="1:42" hidden="1" outlineLevel="1" x14ac:dyDescent="0.3">
      <c r="B126" s="7">
        <v>31</v>
      </c>
      <c r="C126" s="7">
        <v>11</v>
      </c>
      <c r="D126" s="7" t="s">
        <v>1</v>
      </c>
      <c r="E126" s="7"/>
      <c r="F126" s="12"/>
      <c r="G126" s="47">
        <v>0</v>
      </c>
      <c r="H126" s="12"/>
      <c r="I126" s="12"/>
      <c r="J126" s="12"/>
      <c r="K126" s="47">
        <v>0</v>
      </c>
      <c r="L126" s="12"/>
      <c r="M126" s="47">
        <v>0</v>
      </c>
      <c r="N126" s="12"/>
      <c r="O126" s="47">
        <v>0</v>
      </c>
      <c r="P126" s="12"/>
      <c r="Q126" s="47">
        <v>0</v>
      </c>
      <c r="R126" s="12"/>
      <c r="S126" s="47">
        <v>0</v>
      </c>
      <c r="T126" s="12"/>
      <c r="U126" s="12"/>
      <c r="V126" s="12"/>
      <c r="W126" s="12"/>
      <c r="X126" s="7"/>
      <c r="Y126" s="7"/>
      <c r="Z126" s="7"/>
      <c r="AA126" s="7"/>
      <c r="AB126" s="7"/>
      <c r="AC126" s="7"/>
      <c r="AD126" s="7"/>
      <c r="AE126" s="7"/>
      <c r="AF126" s="7"/>
      <c r="AG126" s="47">
        <v>0</v>
      </c>
      <c r="AH126" s="7"/>
      <c r="AI126" s="7"/>
      <c r="AJ126" s="7"/>
      <c r="AK126" s="7"/>
      <c r="AL126" s="7"/>
      <c r="AM126" s="7"/>
      <c r="AN126" s="7"/>
      <c r="AO126" s="7"/>
      <c r="AP126" s="7"/>
    </row>
    <row r="127" spans="1:42" hidden="1" outlineLevel="1" x14ac:dyDescent="0.3">
      <c r="B127" s="7">
        <v>10</v>
      </c>
      <c r="C127" s="7">
        <v>9</v>
      </c>
      <c r="D127" s="7" t="s">
        <v>319</v>
      </c>
      <c r="E127" s="7"/>
      <c r="F127" s="12"/>
      <c r="G127" s="47">
        <v>0</v>
      </c>
      <c r="H127" s="12"/>
      <c r="I127" s="12"/>
      <c r="J127" s="12"/>
      <c r="K127" s="47">
        <v>0</v>
      </c>
      <c r="L127" s="12"/>
      <c r="M127" s="47">
        <v>0</v>
      </c>
      <c r="N127" s="12"/>
      <c r="O127" s="47">
        <v>0</v>
      </c>
      <c r="P127" s="12"/>
      <c r="Q127" s="47">
        <v>0</v>
      </c>
      <c r="R127" s="12"/>
      <c r="S127" s="47">
        <v>0</v>
      </c>
      <c r="T127" s="12"/>
      <c r="U127" s="12"/>
      <c r="V127" s="12"/>
      <c r="W127" s="12"/>
      <c r="X127" s="7"/>
      <c r="Y127" s="7"/>
      <c r="Z127" s="7"/>
      <c r="AA127" s="7"/>
      <c r="AB127" s="7"/>
      <c r="AC127" s="7"/>
      <c r="AD127" s="7"/>
      <c r="AE127" s="7"/>
      <c r="AF127" s="7"/>
      <c r="AG127" s="47">
        <v>1</v>
      </c>
      <c r="AH127" s="7"/>
      <c r="AI127" s="7"/>
      <c r="AJ127" s="7"/>
      <c r="AK127" s="7"/>
      <c r="AL127" s="7"/>
      <c r="AM127" s="7"/>
      <c r="AN127" s="7"/>
      <c r="AO127" s="7"/>
      <c r="AP127" s="7"/>
    </row>
    <row r="128" spans="1:42" hidden="1" outlineLevel="1" x14ac:dyDescent="0.3">
      <c r="B128" s="7">
        <v>8</v>
      </c>
      <c r="C128" s="7">
        <v>8</v>
      </c>
      <c r="D128" s="7" t="s">
        <v>320</v>
      </c>
      <c r="E128" s="7"/>
      <c r="F128" s="12"/>
      <c r="G128" s="47">
        <v>0</v>
      </c>
      <c r="H128" s="12"/>
      <c r="I128" s="12"/>
      <c r="J128" s="12"/>
      <c r="K128" s="47">
        <v>0</v>
      </c>
      <c r="L128" s="12"/>
      <c r="M128" s="47">
        <v>0</v>
      </c>
      <c r="N128" s="12"/>
      <c r="O128" s="47">
        <v>0</v>
      </c>
      <c r="P128" s="12"/>
      <c r="Q128" s="47">
        <v>0</v>
      </c>
      <c r="R128" s="12"/>
      <c r="S128" s="47">
        <v>0</v>
      </c>
      <c r="T128" s="12"/>
      <c r="U128" s="12"/>
      <c r="V128" s="12"/>
      <c r="W128" s="12"/>
      <c r="X128" s="7"/>
      <c r="Y128" s="7"/>
      <c r="Z128" s="7"/>
      <c r="AA128" s="7"/>
      <c r="AB128" s="7"/>
      <c r="AC128" s="7"/>
      <c r="AD128" s="7"/>
      <c r="AE128" s="7"/>
      <c r="AF128" s="7"/>
      <c r="AG128" s="47">
        <v>1</v>
      </c>
      <c r="AH128" s="7"/>
      <c r="AI128" s="7"/>
      <c r="AJ128" s="7"/>
      <c r="AK128" s="7"/>
      <c r="AL128" s="7"/>
      <c r="AM128" s="7"/>
      <c r="AN128" s="7"/>
      <c r="AO128" s="7"/>
      <c r="AP128" s="7"/>
    </row>
    <row r="129" spans="1:42" hidden="1" outlineLevel="1" x14ac:dyDescent="0.3">
      <c r="B129" s="7">
        <v>7</v>
      </c>
      <c r="C129" s="7">
        <v>7</v>
      </c>
      <c r="D129" s="7" t="s">
        <v>321</v>
      </c>
      <c r="E129" s="7"/>
      <c r="F129" s="12"/>
      <c r="G129" s="47">
        <v>0</v>
      </c>
      <c r="H129" s="12"/>
      <c r="I129" s="12"/>
      <c r="J129" s="12"/>
      <c r="K129" s="47">
        <v>0</v>
      </c>
      <c r="L129" s="12"/>
      <c r="M129" s="47">
        <v>0</v>
      </c>
      <c r="N129" s="12"/>
      <c r="O129" s="47">
        <v>0</v>
      </c>
      <c r="P129" s="12"/>
      <c r="Q129" s="47">
        <v>0</v>
      </c>
      <c r="R129" s="12"/>
      <c r="S129" s="47">
        <v>0</v>
      </c>
      <c r="T129" s="12"/>
      <c r="U129" s="12"/>
      <c r="V129" s="12"/>
      <c r="W129" s="12"/>
      <c r="X129" s="7"/>
      <c r="Y129" s="7"/>
      <c r="Z129" s="7"/>
      <c r="AA129" s="7"/>
      <c r="AB129" s="7"/>
      <c r="AC129" s="7"/>
      <c r="AD129" s="7"/>
      <c r="AE129" s="7"/>
      <c r="AF129" s="7"/>
      <c r="AG129" s="47">
        <v>0</v>
      </c>
      <c r="AH129" s="7"/>
      <c r="AI129" s="7"/>
      <c r="AJ129" s="7"/>
      <c r="AK129" s="7"/>
      <c r="AL129" s="7"/>
      <c r="AM129" s="7"/>
      <c r="AN129" s="7"/>
      <c r="AO129" s="7"/>
      <c r="AP129" s="7"/>
    </row>
    <row r="130" spans="1:42" hidden="1" outlineLevel="1" x14ac:dyDescent="0.3">
      <c r="B130" s="7">
        <v>6</v>
      </c>
      <c r="C130" s="7">
        <v>5</v>
      </c>
      <c r="D130" s="7" t="s">
        <v>322</v>
      </c>
      <c r="E130" s="7"/>
      <c r="F130" s="12"/>
      <c r="G130" s="47">
        <v>0</v>
      </c>
      <c r="H130" s="12"/>
      <c r="I130" s="12"/>
      <c r="J130" s="12"/>
      <c r="K130" s="47">
        <v>0</v>
      </c>
      <c r="L130" s="12"/>
      <c r="M130" s="47">
        <v>0</v>
      </c>
      <c r="N130" s="12"/>
      <c r="O130" s="47">
        <v>0</v>
      </c>
      <c r="P130" s="12"/>
      <c r="Q130" s="47">
        <v>0</v>
      </c>
      <c r="R130" s="12"/>
      <c r="S130" s="47">
        <v>0</v>
      </c>
      <c r="T130" s="12"/>
      <c r="U130" s="12"/>
      <c r="V130" s="12"/>
      <c r="W130" s="12"/>
      <c r="X130" s="7"/>
      <c r="Y130" s="7"/>
      <c r="Z130" s="7"/>
      <c r="AA130" s="7"/>
      <c r="AB130" s="7"/>
      <c r="AC130" s="7"/>
      <c r="AD130" s="7"/>
      <c r="AE130" s="7"/>
      <c r="AF130" s="7"/>
      <c r="AG130" s="47">
        <v>2</v>
      </c>
      <c r="AH130" s="7"/>
      <c r="AI130" s="7"/>
      <c r="AJ130" s="7"/>
      <c r="AK130" s="7"/>
      <c r="AL130" s="7"/>
      <c r="AM130" s="7"/>
      <c r="AN130" s="7"/>
      <c r="AO130" s="7"/>
      <c r="AP130" s="7"/>
    </row>
    <row r="131" spans="1:42" hidden="1" outlineLevel="1" x14ac:dyDescent="0.3">
      <c r="B131" s="7">
        <v>4</v>
      </c>
      <c r="C131" s="7">
        <v>4</v>
      </c>
      <c r="D131" s="7" t="s">
        <v>323</v>
      </c>
      <c r="E131" s="7"/>
      <c r="F131" s="12"/>
      <c r="G131" s="47">
        <v>0</v>
      </c>
      <c r="H131" s="12"/>
      <c r="I131" s="12"/>
      <c r="J131" s="12"/>
      <c r="K131" s="47">
        <v>0</v>
      </c>
      <c r="L131" s="12"/>
      <c r="M131" s="47">
        <v>0</v>
      </c>
      <c r="N131" s="12"/>
      <c r="O131" s="47">
        <v>0</v>
      </c>
      <c r="P131" s="12"/>
      <c r="Q131" s="47">
        <v>0</v>
      </c>
      <c r="R131" s="12"/>
      <c r="S131" s="47">
        <v>0</v>
      </c>
      <c r="T131" s="12"/>
      <c r="U131" s="12"/>
      <c r="V131" s="12"/>
      <c r="W131" s="12"/>
      <c r="X131" s="7"/>
      <c r="Y131" s="7"/>
      <c r="Z131" s="7"/>
      <c r="AA131" s="7"/>
      <c r="AB131" s="7"/>
      <c r="AC131" s="7"/>
      <c r="AD131" s="7"/>
      <c r="AE131" s="7"/>
      <c r="AF131" s="7"/>
      <c r="AG131" s="47">
        <v>0</v>
      </c>
      <c r="AH131" s="7"/>
      <c r="AI131" s="7"/>
      <c r="AJ131" s="7"/>
      <c r="AK131" s="7"/>
      <c r="AL131" s="7"/>
      <c r="AM131" s="7"/>
      <c r="AN131" s="7"/>
      <c r="AO131" s="7"/>
      <c r="AP131" s="7"/>
    </row>
    <row r="132" spans="1:42" hidden="1" outlineLevel="1" x14ac:dyDescent="0.3">
      <c r="B132" s="7">
        <v>3</v>
      </c>
      <c r="C132" s="7">
        <v>1</v>
      </c>
      <c r="D132" s="7" t="s">
        <v>324</v>
      </c>
      <c r="E132" s="7"/>
      <c r="F132" s="12"/>
      <c r="G132" s="47">
        <v>0</v>
      </c>
      <c r="H132" s="12"/>
      <c r="I132" s="12"/>
      <c r="J132" s="12"/>
      <c r="K132" s="47">
        <v>0</v>
      </c>
      <c r="L132" s="12"/>
      <c r="M132" s="47">
        <v>0</v>
      </c>
      <c r="N132" s="12"/>
      <c r="O132" s="47">
        <v>0</v>
      </c>
      <c r="P132" s="12"/>
      <c r="Q132" s="47">
        <v>0</v>
      </c>
      <c r="R132" s="12"/>
      <c r="S132" s="47">
        <v>0</v>
      </c>
      <c r="T132" s="12"/>
      <c r="U132" s="12"/>
      <c r="V132" s="12"/>
      <c r="W132" s="12"/>
      <c r="X132" s="7"/>
      <c r="Y132" s="7"/>
      <c r="Z132" s="7"/>
      <c r="AA132" s="7"/>
      <c r="AB132" s="7"/>
      <c r="AC132" s="7"/>
      <c r="AD132" s="7"/>
      <c r="AE132" s="7"/>
      <c r="AF132" s="7"/>
      <c r="AG132" s="47">
        <v>0</v>
      </c>
      <c r="AH132" s="7"/>
      <c r="AI132" s="7"/>
      <c r="AJ132" s="7"/>
      <c r="AK132" s="7"/>
      <c r="AL132" s="7"/>
      <c r="AM132" s="7"/>
      <c r="AN132" s="7"/>
      <c r="AO132" s="7"/>
      <c r="AP132" s="7"/>
    </row>
    <row r="133" spans="1:42" hidden="1" outlineLevel="1" x14ac:dyDescent="0.3">
      <c r="B133" s="7">
        <v>0</v>
      </c>
      <c r="C133" s="7">
        <v>0</v>
      </c>
      <c r="D133" s="7" t="s">
        <v>325</v>
      </c>
      <c r="E133" s="7"/>
      <c r="F133" s="12"/>
      <c r="G133" s="47">
        <v>0</v>
      </c>
      <c r="H133" s="12"/>
      <c r="I133" s="12"/>
      <c r="J133" s="12"/>
      <c r="K133" s="47">
        <v>0</v>
      </c>
      <c r="L133" s="12"/>
      <c r="M133" s="47">
        <v>0</v>
      </c>
      <c r="N133" s="12"/>
      <c r="O133" s="47">
        <v>0</v>
      </c>
      <c r="P133" s="12"/>
      <c r="Q133" s="47">
        <v>0</v>
      </c>
      <c r="R133" s="12"/>
      <c r="S133" s="47">
        <v>0</v>
      </c>
      <c r="T133" s="12"/>
      <c r="U133" s="12"/>
      <c r="V133" s="12"/>
      <c r="W133" s="12"/>
      <c r="X133" s="7"/>
      <c r="Y133" s="7"/>
      <c r="Z133" s="7"/>
      <c r="AA133" s="7"/>
      <c r="AB133" s="7"/>
      <c r="AC133" s="7"/>
      <c r="AD133" s="7"/>
      <c r="AE133" s="7"/>
      <c r="AF133" s="7"/>
      <c r="AG133" s="47">
        <v>1</v>
      </c>
      <c r="AH133" s="7"/>
      <c r="AI133" s="7"/>
      <c r="AJ133" s="7"/>
      <c r="AK133" s="7"/>
      <c r="AL133" s="7"/>
      <c r="AM133" s="7"/>
      <c r="AN133" s="7"/>
      <c r="AO133" s="7"/>
      <c r="AP133" s="7"/>
    </row>
    <row r="134" spans="1:42" collapsed="1" x14ac:dyDescent="0.3">
      <c r="A134" s="1" t="s">
        <v>59</v>
      </c>
      <c r="B134" s="2"/>
      <c r="C134" s="2"/>
      <c r="D134" s="1"/>
      <c r="E134" s="13"/>
      <c r="F134" s="20" t="str">
        <f>BitsTo32Bit(F135:F148)</f>
        <v>$F$140 should be less than or equal to 1</v>
      </c>
      <c r="G134" s="14"/>
      <c r="H134" s="14"/>
      <c r="I134" s="14"/>
      <c r="J134" s="20" t="str">
        <f>BitsTo32Bit(J135:J148)</f>
        <v>$J$140 should be less than or equal to 1</v>
      </c>
      <c r="K134" s="14"/>
      <c r="L134" s="20" t="str">
        <f>BitsTo32Bit(L135:L148)</f>
        <v>$L$140 should be less than or equal to 1</v>
      </c>
      <c r="M134" s="14"/>
      <c r="N134" s="20" t="str">
        <f>BitsTo32Bit(N135:N148)</f>
        <v>$N$140 should be less than or equal to 1</v>
      </c>
      <c r="O134" s="14"/>
      <c r="P134" s="20" t="str">
        <f>BitsTo32Bit(P135:P148)</f>
        <v>$P$140 should be less than or equal to 1</v>
      </c>
      <c r="Q134" s="14"/>
      <c r="R134" s="20" t="str">
        <f>BitsTo32Bit(R135:R148)</f>
        <v>0</v>
      </c>
      <c r="S134" s="14"/>
      <c r="T134" s="14"/>
      <c r="U134" s="14"/>
      <c r="V134" s="14"/>
      <c r="W134" s="14"/>
      <c r="X134" s="13"/>
      <c r="Y134" s="13"/>
      <c r="Z134" s="20" t="str">
        <f>BitsTo32Bit(Z135:Z148)</f>
        <v>$Z$140 should be less than or equal to 1</v>
      </c>
      <c r="AA134" s="13"/>
      <c r="AB134" s="20" t="str">
        <f>BitsTo32Bit(AB135:AB148)</f>
        <v>2</v>
      </c>
      <c r="AC134" s="13"/>
      <c r="AD134" s="20" t="str">
        <f>BitsTo32Bit(AD135:AD148)</f>
        <v>2</v>
      </c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4"/>
      <c r="AP134" s="7"/>
    </row>
    <row r="135" spans="1:42" hidden="1" outlineLevel="1" x14ac:dyDescent="0.3">
      <c r="A135" s="1"/>
      <c r="B135" s="2">
        <v>31</v>
      </c>
      <c r="C135" s="2">
        <v>30</v>
      </c>
      <c r="D135" s="1" t="s">
        <v>1</v>
      </c>
      <c r="E135" s="13"/>
      <c r="F135" s="15">
        <v>0</v>
      </c>
      <c r="G135" s="14"/>
      <c r="H135" s="14"/>
      <c r="I135" s="14"/>
      <c r="J135" s="18">
        <v>0</v>
      </c>
      <c r="K135" s="14"/>
      <c r="L135" s="18">
        <v>0</v>
      </c>
      <c r="M135" s="14"/>
      <c r="N135" s="18">
        <v>0</v>
      </c>
      <c r="O135" s="14"/>
      <c r="P135" s="18">
        <v>0</v>
      </c>
      <c r="Q135" s="14"/>
      <c r="R135" s="18">
        <v>0</v>
      </c>
      <c r="S135" s="14"/>
      <c r="T135" s="14"/>
      <c r="U135" s="14"/>
      <c r="V135" s="14"/>
      <c r="W135" s="14"/>
      <c r="X135" s="13"/>
      <c r="Y135" s="13"/>
      <c r="Z135" s="18">
        <v>0</v>
      </c>
      <c r="AA135" s="13"/>
      <c r="AB135" s="18">
        <v>0</v>
      </c>
      <c r="AC135" s="13"/>
      <c r="AD135" s="18">
        <v>0</v>
      </c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4"/>
      <c r="AP135" s="7"/>
    </row>
    <row r="136" spans="1:42" hidden="1" outlineLevel="1" x14ac:dyDescent="0.3">
      <c r="A136" s="1"/>
      <c r="B136" s="2">
        <v>29</v>
      </c>
      <c r="C136" s="2">
        <v>24</v>
      </c>
      <c r="D136" s="1" t="s">
        <v>60</v>
      </c>
      <c r="E136" s="13"/>
      <c r="F136" s="15">
        <v>0</v>
      </c>
      <c r="G136" s="14"/>
      <c r="H136" s="14"/>
      <c r="I136" s="14"/>
      <c r="J136" s="18">
        <v>0</v>
      </c>
      <c r="K136" s="14"/>
      <c r="L136" s="18">
        <v>0</v>
      </c>
      <c r="M136" s="14"/>
      <c r="N136" s="18">
        <v>0</v>
      </c>
      <c r="O136" s="14"/>
      <c r="P136" s="18">
        <v>0</v>
      </c>
      <c r="Q136" s="14"/>
      <c r="R136" s="18">
        <v>0</v>
      </c>
      <c r="S136" s="14"/>
      <c r="T136" s="14"/>
      <c r="U136" s="14"/>
      <c r="V136" s="14"/>
      <c r="W136" s="14"/>
      <c r="X136" s="13"/>
      <c r="Y136" s="13"/>
      <c r="Z136" s="18">
        <v>0</v>
      </c>
      <c r="AA136" s="13"/>
      <c r="AB136" s="18">
        <v>0</v>
      </c>
      <c r="AC136" s="13"/>
      <c r="AD136" s="18">
        <v>0</v>
      </c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4"/>
      <c r="AP136" s="7"/>
    </row>
    <row r="137" spans="1:42" hidden="1" outlineLevel="1" x14ac:dyDescent="0.3">
      <c r="A137" s="1"/>
      <c r="B137" s="2">
        <v>23</v>
      </c>
      <c r="C137" s="2">
        <v>18</v>
      </c>
      <c r="D137" s="1" t="s">
        <v>1</v>
      </c>
      <c r="E137" s="13"/>
      <c r="F137" s="15">
        <v>0</v>
      </c>
      <c r="G137" s="14"/>
      <c r="H137" s="14"/>
      <c r="I137" s="14"/>
      <c r="J137" s="18">
        <v>0</v>
      </c>
      <c r="K137" s="14"/>
      <c r="L137" s="18">
        <v>0</v>
      </c>
      <c r="M137" s="14"/>
      <c r="N137" s="18">
        <v>0</v>
      </c>
      <c r="O137" s="14"/>
      <c r="P137" s="18">
        <v>0</v>
      </c>
      <c r="Q137" s="14"/>
      <c r="R137" s="18">
        <v>0</v>
      </c>
      <c r="S137" s="14"/>
      <c r="T137" s="14"/>
      <c r="U137" s="14"/>
      <c r="V137" s="14"/>
      <c r="W137" s="14"/>
      <c r="X137" s="13"/>
      <c r="Y137" s="13"/>
      <c r="Z137" s="18">
        <v>0</v>
      </c>
      <c r="AA137" s="13"/>
      <c r="AB137" s="18">
        <v>0</v>
      </c>
      <c r="AC137" s="13"/>
      <c r="AD137" s="18">
        <v>0</v>
      </c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4"/>
      <c r="AP137" s="7"/>
    </row>
    <row r="138" spans="1:42" hidden="1" outlineLevel="1" x14ac:dyDescent="0.3">
      <c r="A138" s="1"/>
      <c r="B138" s="2">
        <v>17</v>
      </c>
      <c r="C138" s="2">
        <v>17</v>
      </c>
      <c r="D138" s="1" t="s">
        <v>61</v>
      </c>
      <c r="E138" s="13"/>
      <c r="F138" s="15">
        <v>0</v>
      </c>
      <c r="G138" s="14"/>
      <c r="H138" s="14"/>
      <c r="I138" s="14"/>
      <c r="J138" s="18">
        <v>0</v>
      </c>
      <c r="K138" s="14"/>
      <c r="L138" s="18">
        <v>0</v>
      </c>
      <c r="M138" s="14"/>
      <c r="N138" s="18">
        <v>0</v>
      </c>
      <c r="O138" s="14"/>
      <c r="P138" s="18">
        <v>0</v>
      </c>
      <c r="Q138" s="14"/>
      <c r="R138" s="18">
        <v>0</v>
      </c>
      <c r="S138" s="14"/>
      <c r="T138" s="14"/>
      <c r="U138" s="14"/>
      <c r="V138" s="14"/>
      <c r="W138" s="14"/>
      <c r="X138" s="13"/>
      <c r="Y138" s="13"/>
      <c r="Z138" s="18">
        <v>1</v>
      </c>
      <c r="AA138" s="13"/>
      <c r="AB138" s="18">
        <v>1</v>
      </c>
      <c r="AC138" s="13"/>
      <c r="AD138" s="18">
        <v>1</v>
      </c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4"/>
      <c r="AP138" s="7"/>
    </row>
    <row r="139" spans="1:42" hidden="1" outlineLevel="1" x14ac:dyDescent="0.3">
      <c r="A139" s="1"/>
      <c r="B139" s="2">
        <v>16</v>
      </c>
      <c r="C139" s="2">
        <v>16</v>
      </c>
      <c r="D139" s="1" t="s">
        <v>62</v>
      </c>
      <c r="E139" s="13"/>
      <c r="F139" s="15">
        <v>0</v>
      </c>
      <c r="G139" s="14"/>
      <c r="H139" s="14"/>
      <c r="I139" s="14"/>
      <c r="J139" s="18">
        <v>0</v>
      </c>
      <c r="K139" s="14"/>
      <c r="L139" s="18">
        <v>0</v>
      </c>
      <c r="M139" s="14"/>
      <c r="N139" s="18">
        <v>0</v>
      </c>
      <c r="O139" s="14"/>
      <c r="P139" s="18">
        <v>0</v>
      </c>
      <c r="Q139" s="14"/>
      <c r="R139" s="18">
        <v>0</v>
      </c>
      <c r="S139" s="14"/>
      <c r="T139" s="14"/>
      <c r="U139" s="14"/>
      <c r="V139" s="14"/>
      <c r="W139" s="14"/>
      <c r="X139" s="13"/>
      <c r="Y139" s="13"/>
      <c r="Z139" s="18">
        <v>1</v>
      </c>
      <c r="AA139" s="13"/>
      <c r="AB139" s="18">
        <v>1</v>
      </c>
      <c r="AC139" s="13"/>
      <c r="AD139" s="18">
        <v>1</v>
      </c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4"/>
      <c r="AP139" s="7"/>
    </row>
    <row r="140" spans="1:42" hidden="1" outlineLevel="1" x14ac:dyDescent="0.3">
      <c r="A140" s="1"/>
      <c r="B140" s="2">
        <v>15</v>
      </c>
      <c r="C140" s="2">
        <v>8</v>
      </c>
      <c r="D140" s="1" t="s">
        <v>63</v>
      </c>
      <c r="E140" s="13"/>
      <c r="F140" s="18">
        <v>72</v>
      </c>
      <c r="G140" s="14"/>
      <c r="H140" s="14"/>
      <c r="I140" s="14"/>
      <c r="J140" s="18">
        <v>72</v>
      </c>
      <c r="K140" s="14"/>
      <c r="L140" s="18">
        <v>72</v>
      </c>
      <c r="M140" s="14"/>
      <c r="N140" s="18">
        <v>72</v>
      </c>
      <c r="O140" s="14"/>
      <c r="P140" s="18">
        <v>72</v>
      </c>
      <c r="Q140" s="14"/>
      <c r="R140" s="18">
        <v>0</v>
      </c>
      <c r="S140" s="14"/>
      <c r="T140" s="14"/>
      <c r="U140" s="14"/>
      <c r="V140" s="14"/>
      <c r="W140" s="14"/>
      <c r="X140" s="13"/>
      <c r="Y140" s="13"/>
      <c r="Z140" s="18">
        <v>50</v>
      </c>
      <c r="AA140" s="13"/>
      <c r="AB140" s="18">
        <v>0</v>
      </c>
      <c r="AC140" s="13"/>
      <c r="AD140" s="18">
        <v>0</v>
      </c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4"/>
      <c r="AP140" s="7"/>
    </row>
    <row r="141" spans="1:42" hidden="1" outlineLevel="1" x14ac:dyDescent="0.3">
      <c r="A141" s="1"/>
      <c r="B141" s="2">
        <v>7</v>
      </c>
      <c r="C141" s="2">
        <v>7</v>
      </c>
      <c r="D141" s="1" t="s">
        <v>1</v>
      </c>
      <c r="E141" s="13"/>
      <c r="F141" s="15">
        <v>0</v>
      </c>
      <c r="G141" s="14"/>
      <c r="H141" s="14"/>
      <c r="I141" s="14"/>
      <c r="J141" s="18">
        <v>0</v>
      </c>
      <c r="K141" s="14"/>
      <c r="L141" s="18">
        <v>0</v>
      </c>
      <c r="M141" s="14"/>
      <c r="N141" s="18">
        <v>0</v>
      </c>
      <c r="O141" s="14"/>
      <c r="P141" s="18">
        <v>0</v>
      </c>
      <c r="Q141" s="14"/>
      <c r="R141" s="18">
        <v>0</v>
      </c>
      <c r="S141" s="14"/>
      <c r="T141" s="14"/>
      <c r="U141" s="14"/>
      <c r="V141" s="14"/>
      <c r="W141" s="14"/>
      <c r="X141" s="13"/>
      <c r="Y141" s="13"/>
      <c r="Z141" s="18">
        <v>0</v>
      </c>
      <c r="AA141" s="13"/>
      <c r="AB141" s="18">
        <v>0</v>
      </c>
      <c r="AC141" s="13"/>
      <c r="AD141" s="18">
        <v>0</v>
      </c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4"/>
      <c r="AP141" s="7"/>
    </row>
    <row r="142" spans="1:42" hidden="1" outlineLevel="1" x14ac:dyDescent="0.3">
      <c r="A142" s="1"/>
      <c r="B142" s="2">
        <v>6</v>
      </c>
      <c r="C142" s="2">
        <v>6</v>
      </c>
      <c r="D142" s="1" t="s">
        <v>64</v>
      </c>
      <c r="E142" s="13"/>
      <c r="F142" s="15">
        <v>0</v>
      </c>
      <c r="G142" s="14"/>
      <c r="H142" s="14"/>
      <c r="I142" s="14"/>
      <c r="J142" s="18">
        <v>0</v>
      </c>
      <c r="K142" s="14"/>
      <c r="L142" s="18">
        <v>0</v>
      </c>
      <c r="M142" s="14"/>
      <c r="N142" s="18">
        <v>0</v>
      </c>
      <c r="O142" s="14"/>
      <c r="P142" s="18">
        <v>0</v>
      </c>
      <c r="Q142" s="14"/>
      <c r="R142" s="18">
        <v>0</v>
      </c>
      <c r="S142" s="14"/>
      <c r="T142" s="14"/>
      <c r="U142" s="14"/>
      <c r="V142" s="14"/>
      <c r="W142" s="14"/>
      <c r="X142" s="13"/>
      <c r="Y142" s="13"/>
      <c r="Z142" s="18">
        <v>0</v>
      </c>
      <c r="AA142" s="13"/>
      <c r="AB142" s="18">
        <v>0</v>
      </c>
      <c r="AC142" s="13"/>
      <c r="AD142" s="18">
        <v>0</v>
      </c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4"/>
      <c r="AP142" s="7"/>
    </row>
    <row r="143" spans="1:42" hidden="1" outlineLevel="1" x14ac:dyDescent="0.3">
      <c r="A143" s="1"/>
      <c r="B143" s="2">
        <v>5</v>
      </c>
      <c r="C143" s="2">
        <v>5</v>
      </c>
      <c r="D143" s="1" t="s">
        <v>65</v>
      </c>
      <c r="E143" s="13"/>
      <c r="F143" s="15">
        <v>0</v>
      </c>
      <c r="G143" s="14"/>
      <c r="H143" s="14"/>
      <c r="I143" s="14"/>
      <c r="J143" s="18">
        <v>0</v>
      </c>
      <c r="K143" s="14"/>
      <c r="L143" s="18">
        <v>0</v>
      </c>
      <c r="M143" s="14"/>
      <c r="N143" s="18">
        <v>0</v>
      </c>
      <c r="O143" s="14"/>
      <c r="P143" s="18">
        <v>0</v>
      </c>
      <c r="Q143" s="14"/>
      <c r="R143" s="18">
        <v>0</v>
      </c>
      <c r="S143" s="14"/>
      <c r="T143" s="14"/>
      <c r="U143" s="14"/>
      <c r="V143" s="14"/>
      <c r="W143" s="14"/>
      <c r="X143" s="13"/>
      <c r="Y143" s="13"/>
      <c r="Z143" s="18">
        <v>0</v>
      </c>
      <c r="AA143" s="13"/>
      <c r="AB143" s="18">
        <v>0</v>
      </c>
      <c r="AC143" s="13"/>
      <c r="AD143" s="18">
        <v>0</v>
      </c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4"/>
      <c r="AP143" s="7"/>
    </row>
    <row r="144" spans="1:42" hidden="1" outlineLevel="1" x14ac:dyDescent="0.3">
      <c r="A144" s="1"/>
      <c r="B144" s="2">
        <v>4</v>
      </c>
      <c r="C144" s="2">
        <v>4</v>
      </c>
      <c r="D144" s="1" t="s">
        <v>66</v>
      </c>
      <c r="E144" s="13"/>
      <c r="F144" s="15">
        <v>0</v>
      </c>
      <c r="G144" s="14"/>
      <c r="H144" s="14"/>
      <c r="I144" s="14"/>
      <c r="J144" s="18">
        <v>0</v>
      </c>
      <c r="K144" s="14"/>
      <c r="L144" s="18">
        <v>0</v>
      </c>
      <c r="M144" s="14"/>
      <c r="N144" s="18">
        <v>0</v>
      </c>
      <c r="O144" s="14"/>
      <c r="P144" s="18">
        <v>0</v>
      </c>
      <c r="Q144" s="14"/>
      <c r="R144" s="18">
        <v>0</v>
      </c>
      <c r="S144" s="14"/>
      <c r="T144" s="14"/>
      <c r="U144" s="14"/>
      <c r="V144" s="14"/>
      <c r="W144" s="14"/>
      <c r="X144" s="13"/>
      <c r="Y144" s="13"/>
      <c r="Z144" s="18">
        <v>0</v>
      </c>
      <c r="AA144" s="13"/>
      <c r="AB144" s="18">
        <v>0</v>
      </c>
      <c r="AC144" s="13"/>
      <c r="AD144" s="18">
        <v>0</v>
      </c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4"/>
      <c r="AP144" s="7"/>
    </row>
    <row r="145" spans="1:42" hidden="1" outlineLevel="1" x14ac:dyDescent="0.3">
      <c r="A145" s="1"/>
      <c r="B145" s="2">
        <v>3</v>
      </c>
      <c r="C145" s="2">
        <v>3</v>
      </c>
      <c r="D145" s="1" t="s">
        <v>67</v>
      </c>
      <c r="E145" s="13"/>
      <c r="F145" s="15">
        <v>0</v>
      </c>
      <c r="G145" s="14"/>
      <c r="H145" s="14"/>
      <c r="I145" s="14"/>
      <c r="J145" s="18">
        <v>0</v>
      </c>
      <c r="K145" s="14"/>
      <c r="L145" s="18">
        <v>0</v>
      </c>
      <c r="M145" s="14"/>
      <c r="N145" s="18">
        <v>0</v>
      </c>
      <c r="O145" s="14"/>
      <c r="P145" s="18">
        <v>0</v>
      </c>
      <c r="Q145" s="14"/>
      <c r="R145" s="18">
        <v>0</v>
      </c>
      <c r="S145" s="14"/>
      <c r="T145" s="14"/>
      <c r="U145" s="14"/>
      <c r="V145" s="14"/>
      <c r="W145" s="14"/>
      <c r="X145" s="13"/>
      <c r="Y145" s="13"/>
      <c r="Z145" s="18">
        <v>0</v>
      </c>
      <c r="AA145" s="13"/>
      <c r="AB145" s="18">
        <v>0</v>
      </c>
      <c r="AC145" s="13"/>
      <c r="AD145" s="18">
        <v>0</v>
      </c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4"/>
      <c r="AP145" s="7"/>
    </row>
    <row r="146" spans="1:42" hidden="1" outlineLevel="1" x14ac:dyDescent="0.3">
      <c r="A146" s="1"/>
      <c r="B146" s="2">
        <v>2</v>
      </c>
      <c r="C146" s="2">
        <v>2</v>
      </c>
      <c r="D146" s="1" t="s">
        <v>68</v>
      </c>
      <c r="E146" s="13"/>
      <c r="F146" s="15">
        <v>0</v>
      </c>
      <c r="G146" s="14"/>
      <c r="H146" s="14"/>
      <c r="I146" s="14"/>
      <c r="J146" s="18">
        <v>0</v>
      </c>
      <c r="K146" s="14"/>
      <c r="L146" s="18">
        <v>0</v>
      </c>
      <c r="M146" s="14"/>
      <c r="N146" s="18">
        <v>0</v>
      </c>
      <c r="O146" s="14"/>
      <c r="P146" s="18">
        <v>0</v>
      </c>
      <c r="Q146" s="14"/>
      <c r="R146" s="18">
        <v>0</v>
      </c>
      <c r="S146" s="14"/>
      <c r="T146" s="14"/>
      <c r="U146" s="14"/>
      <c r="V146" s="14"/>
      <c r="W146" s="14"/>
      <c r="X146" s="13"/>
      <c r="Y146" s="13"/>
      <c r="Z146" s="18">
        <v>0</v>
      </c>
      <c r="AA146" s="13"/>
      <c r="AB146" s="18">
        <v>0</v>
      </c>
      <c r="AC146" s="13"/>
      <c r="AD146" s="18">
        <v>0</v>
      </c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4"/>
      <c r="AP146" s="7"/>
    </row>
    <row r="147" spans="1:42" hidden="1" outlineLevel="1" x14ac:dyDescent="0.3">
      <c r="A147" s="1"/>
      <c r="B147" s="2">
        <v>1</v>
      </c>
      <c r="C147" s="2">
        <v>1</v>
      </c>
      <c r="D147" s="1" t="s">
        <v>69</v>
      </c>
      <c r="E147" s="13"/>
      <c r="F147" s="15">
        <v>0</v>
      </c>
      <c r="G147" s="14"/>
      <c r="H147" s="14"/>
      <c r="I147" s="14"/>
      <c r="J147" s="18">
        <v>1</v>
      </c>
      <c r="K147" s="14"/>
      <c r="L147" s="18">
        <v>1</v>
      </c>
      <c r="M147" s="14"/>
      <c r="N147" s="18">
        <v>1</v>
      </c>
      <c r="O147" s="14"/>
      <c r="P147" s="18">
        <v>1</v>
      </c>
      <c r="Q147" s="14"/>
      <c r="R147" s="18">
        <v>0</v>
      </c>
      <c r="S147" s="14"/>
      <c r="T147" s="14"/>
      <c r="U147" s="14"/>
      <c r="V147" s="14"/>
      <c r="W147" s="14"/>
      <c r="X147" s="13"/>
      <c r="Y147" s="13"/>
      <c r="Z147" s="18">
        <v>1</v>
      </c>
      <c r="AA147" s="13"/>
      <c r="AB147" s="18">
        <v>0</v>
      </c>
      <c r="AC147" s="13"/>
      <c r="AD147" s="18">
        <v>0</v>
      </c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4"/>
      <c r="AP147" s="7"/>
    </row>
    <row r="148" spans="1:42" hidden="1" outlineLevel="1" x14ac:dyDescent="0.3">
      <c r="A148" s="1"/>
      <c r="B148" s="2">
        <v>0</v>
      </c>
      <c r="C148" s="2">
        <v>0</v>
      </c>
      <c r="D148" s="1" t="s">
        <v>70</v>
      </c>
      <c r="E148" s="13"/>
      <c r="F148" s="15">
        <v>0</v>
      </c>
      <c r="G148" s="14"/>
      <c r="H148" s="14"/>
      <c r="I148" s="14"/>
      <c r="J148" s="18">
        <v>0</v>
      </c>
      <c r="K148" s="14"/>
      <c r="L148" s="18">
        <v>0</v>
      </c>
      <c r="M148" s="14"/>
      <c r="N148" s="18">
        <v>0</v>
      </c>
      <c r="O148" s="14"/>
      <c r="P148" s="18">
        <v>0</v>
      </c>
      <c r="Q148" s="14"/>
      <c r="R148" s="18">
        <v>0</v>
      </c>
      <c r="S148" s="14"/>
      <c r="T148" s="14"/>
      <c r="U148" s="14"/>
      <c r="V148" s="14"/>
      <c r="W148" s="14"/>
      <c r="X148" s="13"/>
      <c r="Y148" s="13"/>
      <c r="Z148" s="18">
        <v>0</v>
      </c>
      <c r="AA148" s="13"/>
      <c r="AB148" s="18">
        <v>0</v>
      </c>
      <c r="AC148" s="13"/>
      <c r="AD148" s="18">
        <v>0</v>
      </c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4"/>
      <c r="AP148" s="7"/>
    </row>
    <row r="149" spans="1:42" collapsed="1" x14ac:dyDescent="0.3">
      <c r="A149" s="1" t="s">
        <v>97</v>
      </c>
      <c r="B149" s="2"/>
      <c r="C149" s="2"/>
      <c r="D149" s="1"/>
      <c r="E149" s="13"/>
      <c r="F149" s="20" t="str">
        <f>BitsTo32Bit(F150:F159)</f>
        <v>1</v>
      </c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20" t="str">
        <f>BitsTo32Bit(X150:X159)</f>
        <v>1</v>
      </c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7"/>
    </row>
    <row r="150" spans="1:42" hidden="1" outlineLevel="1" x14ac:dyDescent="0.3">
      <c r="A150" s="1"/>
      <c r="B150" s="2">
        <v>31</v>
      </c>
      <c r="C150" s="2">
        <v>11</v>
      </c>
      <c r="D150" s="1" t="s">
        <v>1</v>
      </c>
      <c r="E150" s="13"/>
      <c r="F150" s="15">
        <v>0</v>
      </c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5">
        <v>0</v>
      </c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7"/>
    </row>
    <row r="151" spans="1:42" hidden="1" outlineLevel="1" x14ac:dyDescent="0.3">
      <c r="A151" s="1"/>
      <c r="B151" s="2">
        <v>10</v>
      </c>
      <c r="C151" s="2">
        <v>10</v>
      </c>
      <c r="D151" s="1" t="s">
        <v>98</v>
      </c>
      <c r="E151" s="13"/>
      <c r="F151" s="15">
        <v>0</v>
      </c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5">
        <v>0</v>
      </c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7"/>
    </row>
    <row r="152" spans="1:42" hidden="1" outlineLevel="1" x14ac:dyDescent="0.3">
      <c r="A152" s="1"/>
      <c r="B152" s="2">
        <v>9</v>
      </c>
      <c r="C152" s="2">
        <v>9</v>
      </c>
      <c r="D152" s="1" t="s">
        <v>99</v>
      </c>
      <c r="E152" s="13"/>
      <c r="F152" s="15">
        <v>0</v>
      </c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5">
        <v>0</v>
      </c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7"/>
    </row>
    <row r="153" spans="1:42" hidden="1" outlineLevel="1" x14ac:dyDescent="0.3">
      <c r="A153" s="1"/>
      <c r="B153" s="2">
        <v>8</v>
      </c>
      <c r="C153" s="2">
        <v>8</v>
      </c>
      <c r="D153" s="1" t="s">
        <v>100</v>
      </c>
      <c r="E153" s="13"/>
      <c r="F153" s="15">
        <v>0</v>
      </c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5">
        <v>0</v>
      </c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7"/>
    </row>
    <row r="154" spans="1:42" hidden="1" outlineLevel="1" x14ac:dyDescent="0.3">
      <c r="A154" s="1"/>
      <c r="B154" s="2">
        <v>7</v>
      </c>
      <c r="C154" s="2">
        <v>7</v>
      </c>
      <c r="D154" s="1" t="s">
        <v>101</v>
      </c>
      <c r="E154" s="13"/>
      <c r="F154" s="18">
        <v>0</v>
      </c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8">
        <v>0</v>
      </c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7"/>
    </row>
    <row r="155" spans="1:42" hidden="1" outlineLevel="1" x14ac:dyDescent="0.3">
      <c r="A155" s="1"/>
      <c r="B155" s="2">
        <v>6</v>
      </c>
      <c r="C155" s="2">
        <v>6</v>
      </c>
      <c r="D155" s="1" t="s">
        <v>102</v>
      </c>
      <c r="E155" s="13"/>
      <c r="F155" s="15">
        <v>0</v>
      </c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5">
        <v>0</v>
      </c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7"/>
    </row>
    <row r="156" spans="1:42" hidden="1" outlineLevel="1" x14ac:dyDescent="0.3">
      <c r="A156" s="1"/>
      <c r="B156" s="2">
        <v>5</v>
      </c>
      <c r="C156" s="2">
        <v>5</v>
      </c>
      <c r="D156" s="1" t="s">
        <v>103</v>
      </c>
      <c r="E156" s="13"/>
      <c r="F156" s="15">
        <v>1</v>
      </c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5">
        <v>1</v>
      </c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7"/>
    </row>
    <row r="157" spans="1:42" hidden="1" outlineLevel="1" x14ac:dyDescent="0.3">
      <c r="A157" s="1"/>
      <c r="B157" s="2">
        <v>4</v>
      </c>
      <c r="C157" s="2">
        <v>4</v>
      </c>
      <c r="D157" s="1" t="s">
        <v>1</v>
      </c>
      <c r="E157" s="13"/>
      <c r="F157" s="15">
        <v>0</v>
      </c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5">
        <v>0</v>
      </c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7"/>
    </row>
    <row r="158" spans="1:42" hidden="1" outlineLevel="1" x14ac:dyDescent="0.3">
      <c r="A158" s="1"/>
      <c r="B158" s="2">
        <v>3</v>
      </c>
      <c r="C158" s="2">
        <v>2</v>
      </c>
      <c r="D158" s="1" t="s">
        <v>104</v>
      </c>
      <c r="E158" s="13"/>
      <c r="F158" s="18">
        <v>0</v>
      </c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8">
        <v>0</v>
      </c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7"/>
    </row>
    <row r="159" spans="1:42" hidden="1" outlineLevel="1" x14ac:dyDescent="0.3">
      <c r="A159" s="1"/>
      <c r="B159" s="2">
        <v>1</v>
      </c>
      <c r="C159" s="2">
        <v>0</v>
      </c>
      <c r="D159" s="1" t="s">
        <v>105</v>
      </c>
      <c r="E159" s="13"/>
      <c r="F159" s="18">
        <v>0</v>
      </c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8">
        <v>0</v>
      </c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7"/>
    </row>
    <row r="160" spans="1:42" collapsed="1" x14ac:dyDescent="0.3">
      <c r="A160" s="1" t="s">
        <v>106</v>
      </c>
      <c r="B160" s="2"/>
      <c r="C160" s="2"/>
      <c r="D160" s="1"/>
      <c r="E160" s="13"/>
      <c r="F160" s="20" t="str">
        <f>BitsTo32Bit(F161:F173)</f>
        <v>$F$161 should be less than or equal to 1</v>
      </c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20" t="str">
        <f>BitsTo32Bit(R161:R173)</f>
        <v>$R$161 should be less than or equal to 1</v>
      </c>
      <c r="S160" s="14"/>
      <c r="T160" s="14"/>
      <c r="U160" s="14"/>
      <c r="V160" s="14"/>
      <c r="W160" s="14"/>
      <c r="X160" s="13"/>
      <c r="Y160" s="13"/>
      <c r="Z160" s="20" t="str">
        <f>BitsTo32Bit(Z161:Z173)</f>
        <v>$Z$161 should be less than or equal to 1</v>
      </c>
      <c r="AA160" s="13"/>
      <c r="AB160" s="20" t="str">
        <f>BitsTo32Bit(AB161:AB173)</f>
        <v>$AB$161 should be less than or equal to 1</v>
      </c>
      <c r="AC160" s="13"/>
      <c r="AD160" s="20" t="str">
        <f>BitsTo32Bit(AD161:AD173)</f>
        <v>$AD$161 should be less than or equal to 1</v>
      </c>
      <c r="AE160" s="13"/>
      <c r="AF160" s="20" t="str">
        <f>BitsTo32Bit(AF161:AF173)</f>
        <v>$AF$161 should be less than or equal to 1</v>
      </c>
      <c r="AG160" s="13"/>
      <c r="AH160" s="13"/>
      <c r="AI160" s="13"/>
      <c r="AJ160" s="13"/>
      <c r="AK160" s="13"/>
      <c r="AL160" s="13"/>
      <c r="AM160" s="13"/>
      <c r="AN160" s="13"/>
      <c r="AO160" s="13"/>
      <c r="AP160" s="7"/>
    </row>
    <row r="161" spans="1:42" hidden="1" outlineLevel="1" x14ac:dyDescent="0.3">
      <c r="A161" s="1"/>
      <c r="B161" s="2">
        <v>31</v>
      </c>
      <c r="C161" s="2">
        <v>28</v>
      </c>
      <c r="D161" s="1" t="s">
        <v>107</v>
      </c>
      <c r="E161" s="13"/>
      <c r="F161" s="18" t="s">
        <v>117</v>
      </c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8" t="s">
        <v>117</v>
      </c>
      <c r="S161" s="14"/>
      <c r="T161" s="14"/>
      <c r="U161" s="14"/>
      <c r="V161" s="14"/>
      <c r="W161" s="14"/>
      <c r="X161" s="13"/>
      <c r="Y161" s="13"/>
      <c r="Z161" s="18" t="s">
        <v>117</v>
      </c>
      <c r="AA161" s="13"/>
      <c r="AB161" s="18" t="s">
        <v>117</v>
      </c>
      <c r="AC161" s="13"/>
      <c r="AD161" s="18" t="s">
        <v>117</v>
      </c>
      <c r="AE161" s="13"/>
      <c r="AF161" s="18" t="s">
        <v>117</v>
      </c>
      <c r="AG161" s="13"/>
      <c r="AH161" s="13"/>
      <c r="AI161" s="13"/>
      <c r="AJ161" s="13"/>
      <c r="AK161" s="13"/>
      <c r="AL161" s="13"/>
      <c r="AM161" s="13"/>
      <c r="AN161" s="13"/>
      <c r="AO161" s="13"/>
      <c r="AP161" s="7"/>
    </row>
    <row r="162" spans="1:42" hidden="1" outlineLevel="1" x14ac:dyDescent="0.3">
      <c r="A162" s="1"/>
      <c r="B162" s="2">
        <v>27</v>
      </c>
      <c r="C162" s="2">
        <v>24</v>
      </c>
      <c r="D162" s="1" t="s">
        <v>108</v>
      </c>
      <c r="E162" s="13"/>
      <c r="F162" s="18" t="s">
        <v>117</v>
      </c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8" t="s">
        <v>117</v>
      </c>
      <c r="S162" s="14"/>
      <c r="T162" s="14"/>
      <c r="U162" s="14"/>
      <c r="V162" s="14"/>
      <c r="W162" s="14"/>
      <c r="X162" s="13"/>
      <c r="Y162" s="13"/>
      <c r="Z162" s="18" t="s">
        <v>117</v>
      </c>
      <c r="AA162" s="13"/>
      <c r="AB162" s="18" t="s">
        <v>117</v>
      </c>
      <c r="AC162" s="13"/>
      <c r="AD162" s="18" t="s">
        <v>117</v>
      </c>
      <c r="AE162" s="13"/>
      <c r="AF162" s="18" t="s">
        <v>117</v>
      </c>
      <c r="AG162" s="13"/>
      <c r="AH162" s="13"/>
      <c r="AI162" s="13"/>
      <c r="AJ162" s="13"/>
      <c r="AK162" s="13"/>
      <c r="AL162" s="13"/>
      <c r="AM162" s="13"/>
      <c r="AN162" s="13"/>
      <c r="AO162" s="13"/>
      <c r="AP162" s="7"/>
    </row>
    <row r="163" spans="1:42" hidden="1" outlineLevel="1" x14ac:dyDescent="0.3">
      <c r="A163" s="1"/>
      <c r="B163" s="2">
        <v>23</v>
      </c>
      <c r="C163" s="2">
        <v>20</v>
      </c>
      <c r="D163" s="1" t="s">
        <v>109</v>
      </c>
      <c r="E163" s="13"/>
      <c r="F163" s="18" t="s">
        <v>117</v>
      </c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8" t="s">
        <v>117</v>
      </c>
      <c r="S163" s="14"/>
      <c r="T163" s="14"/>
      <c r="U163" s="14"/>
      <c r="V163" s="14"/>
      <c r="W163" s="14"/>
      <c r="X163" s="13"/>
      <c r="Y163" s="13"/>
      <c r="Z163" s="18" t="s">
        <v>117</v>
      </c>
      <c r="AA163" s="13"/>
      <c r="AB163" s="18" t="s">
        <v>117</v>
      </c>
      <c r="AC163" s="13"/>
      <c r="AD163" s="18" t="s">
        <v>117</v>
      </c>
      <c r="AE163" s="13"/>
      <c r="AF163" s="18" t="s">
        <v>117</v>
      </c>
      <c r="AG163" s="13"/>
      <c r="AH163" s="13"/>
      <c r="AI163" s="13"/>
      <c r="AJ163" s="13"/>
      <c r="AK163" s="13"/>
      <c r="AL163" s="13"/>
      <c r="AM163" s="13"/>
      <c r="AN163" s="13"/>
      <c r="AO163" s="13"/>
      <c r="AP163" s="7"/>
    </row>
    <row r="164" spans="1:42" hidden="1" outlineLevel="1" x14ac:dyDescent="0.3">
      <c r="A164" s="1"/>
      <c r="B164" s="2">
        <v>19</v>
      </c>
      <c r="C164" s="2">
        <v>16</v>
      </c>
      <c r="D164" s="1" t="s">
        <v>110</v>
      </c>
      <c r="E164" s="13"/>
      <c r="F164" s="18" t="s">
        <v>117</v>
      </c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8" t="s">
        <v>117</v>
      </c>
      <c r="S164" s="14"/>
      <c r="T164" s="14"/>
      <c r="U164" s="14"/>
      <c r="V164" s="14"/>
      <c r="W164" s="14"/>
      <c r="X164" s="13"/>
      <c r="Y164" s="13"/>
      <c r="Z164" s="18" t="s">
        <v>117</v>
      </c>
      <c r="AA164" s="13"/>
      <c r="AB164" s="18" t="s">
        <v>117</v>
      </c>
      <c r="AC164" s="13"/>
      <c r="AD164" s="18" t="s">
        <v>117</v>
      </c>
      <c r="AE164" s="13"/>
      <c r="AF164" s="18" t="s">
        <v>117</v>
      </c>
      <c r="AG164" s="13"/>
      <c r="AH164" s="13"/>
      <c r="AI164" s="13"/>
      <c r="AJ164" s="13"/>
      <c r="AK164" s="13"/>
      <c r="AL164" s="13"/>
      <c r="AM164" s="13"/>
      <c r="AN164" s="13"/>
      <c r="AO164" s="13"/>
      <c r="AP164" s="7"/>
    </row>
    <row r="165" spans="1:42" hidden="1" outlineLevel="1" x14ac:dyDescent="0.3">
      <c r="A165" s="1"/>
      <c r="B165" s="2">
        <v>15</v>
      </c>
      <c r="C165" s="2">
        <v>15</v>
      </c>
      <c r="D165" s="1" t="s">
        <v>1</v>
      </c>
      <c r="E165" s="13"/>
      <c r="F165" s="15">
        <v>0</v>
      </c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8">
        <v>0</v>
      </c>
      <c r="S165" s="14"/>
      <c r="T165" s="14"/>
      <c r="U165" s="14"/>
      <c r="V165" s="14"/>
      <c r="W165" s="14"/>
      <c r="X165" s="13"/>
      <c r="Y165" s="13"/>
      <c r="Z165" s="15">
        <v>0</v>
      </c>
      <c r="AA165" s="13"/>
      <c r="AB165" s="15">
        <v>0</v>
      </c>
      <c r="AC165" s="13"/>
      <c r="AD165" s="15">
        <v>0</v>
      </c>
      <c r="AE165" s="13"/>
      <c r="AF165" s="15">
        <v>0</v>
      </c>
      <c r="AG165" s="13"/>
      <c r="AH165" s="13"/>
      <c r="AI165" s="13"/>
      <c r="AJ165" s="13"/>
      <c r="AK165" s="13"/>
      <c r="AL165" s="13"/>
      <c r="AM165" s="13"/>
      <c r="AN165" s="13"/>
      <c r="AO165" s="13"/>
      <c r="AP165" s="7"/>
    </row>
    <row r="166" spans="1:42" hidden="1" outlineLevel="1" x14ac:dyDescent="0.3">
      <c r="A166" s="1"/>
      <c r="B166" s="2">
        <v>14</v>
      </c>
      <c r="C166" s="2">
        <v>14</v>
      </c>
      <c r="D166" s="1" t="s">
        <v>312</v>
      </c>
      <c r="E166" s="13"/>
      <c r="F166" s="15">
        <v>0</v>
      </c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8">
        <v>0</v>
      </c>
      <c r="S166" s="14"/>
      <c r="T166" s="14"/>
      <c r="U166" s="14"/>
      <c r="V166" s="14"/>
      <c r="W166" s="14"/>
      <c r="X166" s="13"/>
      <c r="Y166" s="13"/>
      <c r="Z166" s="15">
        <v>1</v>
      </c>
      <c r="AA166" s="13"/>
      <c r="AB166" s="15">
        <v>1</v>
      </c>
      <c r="AC166" s="13"/>
      <c r="AD166" s="15">
        <v>1</v>
      </c>
      <c r="AE166" s="13"/>
      <c r="AF166" s="15">
        <v>0</v>
      </c>
      <c r="AG166" s="13"/>
      <c r="AH166" s="13"/>
      <c r="AI166" s="13"/>
      <c r="AJ166" s="13"/>
      <c r="AK166" s="13"/>
      <c r="AL166" s="13"/>
      <c r="AM166" s="13"/>
      <c r="AN166" s="13"/>
      <c r="AO166" s="13"/>
      <c r="AP166" s="7"/>
    </row>
    <row r="167" spans="1:42" hidden="1" outlineLevel="1" x14ac:dyDescent="0.3">
      <c r="A167" s="1"/>
      <c r="B167" s="2">
        <v>13</v>
      </c>
      <c r="C167" s="2">
        <v>12</v>
      </c>
      <c r="D167" s="1" t="s">
        <v>111</v>
      </c>
      <c r="E167" s="13"/>
      <c r="F167" s="18">
        <v>0</v>
      </c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8">
        <v>0</v>
      </c>
      <c r="S167" s="14"/>
      <c r="T167" s="14"/>
      <c r="U167" s="14"/>
      <c r="V167" s="14"/>
      <c r="W167" s="14"/>
      <c r="X167" s="13"/>
      <c r="Y167" s="13"/>
      <c r="Z167" s="18">
        <v>1</v>
      </c>
      <c r="AA167" s="13"/>
      <c r="AB167" s="18">
        <v>1</v>
      </c>
      <c r="AC167" s="13"/>
      <c r="AD167" s="18">
        <v>1</v>
      </c>
      <c r="AE167" s="13"/>
      <c r="AF167" s="18">
        <v>0</v>
      </c>
      <c r="AG167" s="13"/>
      <c r="AH167" s="13"/>
      <c r="AI167" s="13"/>
      <c r="AJ167" s="13"/>
      <c r="AK167" s="13"/>
      <c r="AL167" s="13"/>
      <c r="AM167" s="13"/>
      <c r="AN167" s="13"/>
      <c r="AO167" s="13"/>
      <c r="AP167" s="7"/>
    </row>
    <row r="168" spans="1:42" hidden="1" outlineLevel="1" x14ac:dyDescent="0.3">
      <c r="A168" s="1"/>
      <c r="B168" s="2">
        <v>11</v>
      </c>
      <c r="C168" s="2">
        <v>10</v>
      </c>
      <c r="D168" s="1" t="s">
        <v>1</v>
      </c>
      <c r="E168" s="13"/>
      <c r="F168" s="15">
        <v>0</v>
      </c>
      <c r="G168" s="14"/>
      <c r="H168" s="14"/>
      <c r="I168" s="14"/>
      <c r="J168" s="16"/>
      <c r="K168" s="14"/>
      <c r="L168" s="16"/>
      <c r="M168" s="14"/>
      <c r="N168" s="16"/>
      <c r="O168" s="14"/>
      <c r="P168" s="16"/>
      <c r="Q168" s="14"/>
      <c r="R168" s="18">
        <v>0</v>
      </c>
      <c r="S168" s="14"/>
      <c r="T168" s="14"/>
      <c r="U168" s="14"/>
      <c r="V168" s="14"/>
      <c r="W168" s="14"/>
      <c r="X168" s="13"/>
      <c r="Y168" s="13"/>
      <c r="Z168" s="15">
        <v>0</v>
      </c>
      <c r="AA168" s="13"/>
      <c r="AB168" s="15">
        <v>0</v>
      </c>
      <c r="AC168" s="13"/>
      <c r="AD168" s="15">
        <v>0</v>
      </c>
      <c r="AE168" s="13"/>
      <c r="AF168" s="15">
        <v>0</v>
      </c>
      <c r="AG168" s="13"/>
      <c r="AH168" s="13"/>
      <c r="AI168" s="13"/>
      <c r="AJ168" s="13"/>
      <c r="AK168" s="13"/>
      <c r="AL168" s="13"/>
      <c r="AM168" s="13"/>
      <c r="AN168" s="13"/>
      <c r="AO168" s="13"/>
      <c r="AP168" s="7"/>
    </row>
    <row r="169" spans="1:42" hidden="1" outlineLevel="1" x14ac:dyDescent="0.3">
      <c r="A169" s="1"/>
      <c r="B169" s="2">
        <v>9</v>
      </c>
      <c r="C169" s="2">
        <v>8</v>
      </c>
      <c r="D169" s="1" t="s">
        <v>112</v>
      </c>
      <c r="E169" s="13"/>
      <c r="F169" s="18">
        <v>3</v>
      </c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8">
        <v>3</v>
      </c>
      <c r="S169" s="14"/>
      <c r="T169" s="14"/>
      <c r="U169" s="14"/>
      <c r="V169" s="14"/>
      <c r="W169" s="14"/>
      <c r="X169" s="13"/>
      <c r="Y169" s="13"/>
      <c r="Z169" s="18">
        <v>0</v>
      </c>
      <c r="AA169" s="13"/>
      <c r="AB169" s="18">
        <v>0</v>
      </c>
      <c r="AC169" s="13"/>
      <c r="AD169" s="18">
        <v>0</v>
      </c>
      <c r="AE169" s="13"/>
      <c r="AF169" s="18">
        <v>0</v>
      </c>
      <c r="AG169" s="13"/>
      <c r="AH169" s="13"/>
      <c r="AI169" s="13"/>
      <c r="AJ169" s="13"/>
      <c r="AK169" s="13"/>
      <c r="AL169" s="13"/>
      <c r="AM169" s="13"/>
      <c r="AN169" s="13"/>
      <c r="AO169" s="13"/>
      <c r="AP169" s="7"/>
    </row>
    <row r="170" spans="1:42" hidden="1" outlineLevel="1" x14ac:dyDescent="0.3">
      <c r="A170" s="1"/>
      <c r="B170" s="2">
        <v>7</v>
      </c>
      <c r="C170" s="2">
        <v>3</v>
      </c>
      <c r="D170" s="1" t="s">
        <v>113</v>
      </c>
      <c r="E170" s="13"/>
      <c r="F170" s="18">
        <v>0</v>
      </c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8">
        <v>0</v>
      </c>
      <c r="S170" s="14"/>
      <c r="T170" s="14"/>
      <c r="U170" s="14"/>
      <c r="V170" s="14"/>
      <c r="W170" s="14"/>
      <c r="X170" s="13"/>
      <c r="Y170" s="13"/>
      <c r="Z170" s="18" t="s">
        <v>175</v>
      </c>
      <c r="AA170" s="13"/>
      <c r="AB170" s="18" t="s">
        <v>117</v>
      </c>
      <c r="AC170" s="13"/>
      <c r="AD170" s="18" t="s">
        <v>117</v>
      </c>
      <c r="AE170" s="13"/>
      <c r="AF170" s="18">
        <v>0</v>
      </c>
      <c r="AG170" s="13"/>
      <c r="AH170" s="13"/>
      <c r="AI170" s="13"/>
      <c r="AJ170" s="13"/>
      <c r="AK170" s="13"/>
      <c r="AL170" s="13"/>
      <c r="AM170" s="13"/>
      <c r="AN170" s="13"/>
      <c r="AO170" s="13"/>
      <c r="AP170" s="7"/>
    </row>
    <row r="171" spans="1:42" hidden="1" outlineLevel="1" x14ac:dyDescent="0.3">
      <c r="A171" s="1"/>
      <c r="B171" s="2">
        <v>2</v>
      </c>
      <c r="C171" s="2">
        <v>2</v>
      </c>
      <c r="D171" s="1" t="s">
        <v>114</v>
      </c>
      <c r="E171" s="13"/>
      <c r="F171" s="18">
        <v>0</v>
      </c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8">
        <v>0</v>
      </c>
      <c r="S171" s="14"/>
      <c r="T171" s="14"/>
      <c r="U171" s="14"/>
      <c r="V171" s="14"/>
      <c r="W171" s="14"/>
      <c r="X171" s="13"/>
      <c r="Y171" s="13"/>
      <c r="Z171" s="18">
        <v>1</v>
      </c>
      <c r="AA171" s="13"/>
      <c r="AB171" s="18">
        <v>1</v>
      </c>
      <c r="AC171" s="13"/>
      <c r="AD171" s="18">
        <v>1</v>
      </c>
      <c r="AE171" s="13"/>
      <c r="AF171" s="18">
        <v>0</v>
      </c>
      <c r="AG171" s="13"/>
      <c r="AH171" s="13"/>
      <c r="AI171" s="13"/>
      <c r="AJ171" s="13"/>
      <c r="AK171" s="13"/>
      <c r="AL171" s="13"/>
      <c r="AM171" s="13"/>
      <c r="AN171" s="13"/>
      <c r="AO171" s="13"/>
      <c r="AP171" s="7"/>
    </row>
    <row r="172" spans="1:42" hidden="1" outlineLevel="1" x14ac:dyDescent="0.3">
      <c r="A172" s="1"/>
      <c r="B172" s="2">
        <v>1</v>
      </c>
      <c r="C172" s="2">
        <v>1</v>
      </c>
      <c r="D172" s="1" t="s">
        <v>115</v>
      </c>
      <c r="E172" s="13"/>
      <c r="F172" s="18">
        <v>0</v>
      </c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8">
        <v>0</v>
      </c>
      <c r="S172" s="14"/>
      <c r="T172" s="14"/>
      <c r="U172" s="14"/>
      <c r="V172" s="14"/>
      <c r="W172" s="14"/>
      <c r="X172" s="13"/>
      <c r="Y172" s="13"/>
      <c r="Z172" s="18">
        <v>0</v>
      </c>
      <c r="AA172" s="13"/>
      <c r="AB172" s="18">
        <v>0</v>
      </c>
      <c r="AC172" s="13"/>
      <c r="AD172" s="18">
        <v>0</v>
      </c>
      <c r="AE172" s="13"/>
      <c r="AF172" s="18">
        <v>0</v>
      </c>
      <c r="AG172" s="13"/>
      <c r="AH172" s="13"/>
      <c r="AI172" s="13"/>
      <c r="AJ172" s="13"/>
      <c r="AK172" s="13"/>
      <c r="AL172" s="13"/>
      <c r="AM172" s="13"/>
      <c r="AN172" s="13"/>
      <c r="AO172" s="13"/>
      <c r="AP172" s="7"/>
    </row>
    <row r="173" spans="1:42" hidden="1" outlineLevel="1" x14ac:dyDescent="0.3">
      <c r="A173" s="1"/>
      <c r="B173" s="2">
        <v>0</v>
      </c>
      <c r="C173" s="2">
        <v>0</v>
      </c>
      <c r="D173" s="1" t="s">
        <v>116</v>
      </c>
      <c r="E173" s="13"/>
      <c r="F173" s="18">
        <v>0</v>
      </c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8">
        <v>0</v>
      </c>
      <c r="S173" s="14"/>
      <c r="T173" s="14"/>
      <c r="U173" s="14"/>
      <c r="V173" s="14"/>
      <c r="W173" s="14"/>
      <c r="X173" s="13"/>
      <c r="Y173" s="13"/>
      <c r="Z173" s="18">
        <v>0</v>
      </c>
      <c r="AA173" s="13"/>
      <c r="AB173" s="18">
        <v>0</v>
      </c>
      <c r="AC173" s="13"/>
      <c r="AD173" s="18">
        <v>0</v>
      </c>
      <c r="AE173" s="13"/>
      <c r="AF173" s="18">
        <v>0</v>
      </c>
      <c r="AG173" s="13"/>
      <c r="AH173" s="13"/>
      <c r="AI173" s="13"/>
      <c r="AJ173" s="13"/>
      <c r="AK173" s="13"/>
      <c r="AL173" s="13"/>
      <c r="AM173" s="13"/>
      <c r="AN173" s="13"/>
      <c r="AO173" s="13"/>
      <c r="AP173" s="7"/>
    </row>
    <row r="174" spans="1:42" collapsed="1" x14ac:dyDescent="0.3">
      <c r="A174" s="1" t="s">
        <v>118</v>
      </c>
      <c r="B174" s="2"/>
      <c r="C174" s="2"/>
      <c r="D174" s="1"/>
      <c r="E174" s="13"/>
      <c r="F174" s="20" t="str">
        <f>BitsTo32Bit(F175:F182)</f>
        <v>0</v>
      </c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3"/>
      <c r="Y174" s="13"/>
      <c r="Z174" s="20" t="str">
        <f>BitsTo32Bit(Z175:Z182)</f>
        <v>$Z$176 should be less than or equal to 1</v>
      </c>
      <c r="AA174" s="13"/>
      <c r="AB174" s="20" t="str">
        <f>BitsTo32Bit(AB175:AB182)</f>
        <v>$AB$181 should be less than or equal to 1</v>
      </c>
      <c r="AC174" s="13"/>
      <c r="AD174" s="20" t="str">
        <f>BitsTo32Bit(AD175:AD182)</f>
        <v>$AD$181 should be less than or equal to 1</v>
      </c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7"/>
    </row>
    <row r="175" spans="1:42" hidden="1" outlineLevel="1" x14ac:dyDescent="0.3">
      <c r="A175" s="1"/>
      <c r="B175" s="2">
        <v>31</v>
      </c>
      <c r="C175" s="2">
        <v>11</v>
      </c>
      <c r="D175" s="1" t="s">
        <v>1</v>
      </c>
      <c r="E175" s="13"/>
      <c r="F175" s="15">
        <v>0</v>
      </c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3"/>
      <c r="Y175" s="13"/>
      <c r="Z175" s="15">
        <v>0</v>
      </c>
      <c r="AA175" s="13"/>
      <c r="AB175" s="15">
        <v>0</v>
      </c>
      <c r="AC175" s="13"/>
      <c r="AD175" s="15">
        <v>0</v>
      </c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7"/>
    </row>
    <row r="176" spans="1:42" hidden="1" outlineLevel="1" x14ac:dyDescent="0.3">
      <c r="A176" s="1"/>
      <c r="B176" s="2">
        <v>10</v>
      </c>
      <c r="C176" s="2">
        <v>8</v>
      </c>
      <c r="D176" s="1" t="s">
        <v>119</v>
      </c>
      <c r="E176" s="13"/>
      <c r="F176" s="18">
        <v>0</v>
      </c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3"/>
      <c r="Y176" s="13"/>
      <c r="Z176" s="18">
        <v>7</v>
      </c>
      <c r="AA176" s="13"/>
      <c r="AB176" s="18">
        <v>0</v>
      </c>
      <c r="AC176" s="13"/>
      <c r="AD176" s="18">
        <v>0</v>
      </c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7"/>
    </row>
    <row r="177" spans="1:42" hidden="1" outlineLevel="1" x14ac:dyDescent="0.3">
      <c r="A177" s="1"/>
      <c r="B177" s="2">
        <v>7</v>
      </c>
      <c r="C177" s="2">
        <v>7</v>
      </c>
      <c r="D177" s="1" t="s">
        <v>120</v>
      </c>
      <c r="E177" s="13"/>
      <c r="F177" s="18">
        <v>0</v>
      </c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3"/>
      <c r="Y177" s="13"/>
      <c r="Z177" s="18">
        <v>1</v>
      </c>
      <c r="AA177" s="13"/>
      <c r="AB177" s="18">
        <v>1</v>
      </c>
      <c r="AC177" s="13"/>
      <c r="AD177" s="18">
        <v>1</v>
      </c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7"/>
    </row>
    <row r="178" spans="1:42" hidden="1" outlineLevel="1" x14ac:dyDescent="0.3">
      <c r="A178" s="1"/>
      <c r="B178" s="2">
        <v>6</v>
      </c>
      <c r="C178" s="2">
        <v>6</v>
      </c>
      <c r="D178" s="1" t="s">
        <v>121</v>
      </c>
      <c r="E178" s="13"/>
      <c r="F178" s="18">
        <v>0</v>
      </c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3"/>
      <c r="Y178" s="13"/>
      <c r="Z178" s="18">
        <v>0</v>
      </c>
      <c r="AA178" s="13"/>
      <c r="AB178" s="18">
        <v>0</v>
      </c>
      <c r="AC178" s="13"/>
      <c r="AD178" s="18">
        <v>0</v>
      </c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7"/>
    </row>
    <row r="179" spans="1:42" hidden="1" outlineLevel="1" x14ac:dyDescent="0.3">
      <c r="A179" s="1"/>
      <c r="B179" s="2">
        <v>5</v>
      </c>
      <c r="C179" s="2">
        <v>5</v>
      </c>
      <c r="D179" s="1" t="s">
        <v>122</v>
      </c>
      <c r="E179" s="13"/>
      <c r="F179" s="18">
        <v>0</v>
      </c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3"/>
      <c r="Y179" s="13"/>
      <c r="Z179" s="18">
        <v>0</v>
      </c>
      <c r="AA179" s="13"/>
      <c r="AB179" s="18">
        <v>0</v>
      </c>
      <c r="AC179" s="13"/>
      <c r="AD179" s="18">
        <v>0</v>
      </c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7"/>
    </row>
    <row r="180" spans="1:42" hidden="1" outlineLevel="1" x14ac:dyDescent="0.3">
      <c r="A180" s="1"/>
      <c r="B180" s="2">
        <v>4</v>
      </c>
      <c r="C180" s="2">
        <v>4</v>
      </c>
      <c r="D180" s="1" t="s">
        <v>123</v>
      </c>
      <c r="E180" s="13"/>
      <c r="F180" s="18">
        <v>0</v>
      </c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3"/>
      <c r="Y180" s="13"/>
      <c r="Z180" s="18">
        <v>0</v>
      </c>
      <c r="AA180" s="13"/>
      <c r="AB180" s="18">
        <v>0</v>
      </c>
      <c r="AC180" s="13"/>
      <c r="AD180" s="18">
        <v>0</v>
      </c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7"/>
    </row>
    <row r="181" spans="1:42" hidden="1" outlineLevel="1" x14ac:dyDescent="0.3">
      <c r="A181" s="1"/>
      <c r="B181" s="2">
        <v>3</v>
      </c>
      <c r="C181" s="2">
        <v>1</v>
      </c>
      <c r="D181" s="1" t="s">
        <v>124</v>
      </c>
      <c r="E181" s="13"/>
      <c r="F181" s="18">
        <v>0</v>
      </c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3"/>
      <c r="Y181" s="13"/>
      <c r="Z181" s="18">
        <v>1</v>
      </c>
      <c r="AA181" s="13"/>
      <c r="AB181" s="18">
        <v>7</v>
      </c>
      <c r="AC181" s="13"/>
      <c r="AD181" s="18">
        <v>7</v>
      </c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7"/>
    </row>
    <row r="182" spans="1:42" hidden="1" outlineLevel="1" x14ac:dyDescent="0.3">
      <c r="A182" s="1"/>
      <c r="B182" s="2">
        <v>0</v>
      </c>
      <c r="C182" s="2">
        <v>0</v>
      </c>
      <c r="D182" s="1" t="s">
        <v>125</v>
      </c>
      <c r="E182" s="13"/>
      <c r="F182" s="18">
        <v>0</v>
      </c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3"/>
      <c r="Y182" s="13"/>
      <c r="Z182" s="18">
        <v>1</v>
      </c>
      <c r="AA182" s="13"/>
      <c r="AB182" s="18">
        <v>1</v>
      </c>
      <c r="AC182" s="13"/>
      <c r="AD182" s="18">
        <v>1</v>
      </c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7"/>
    </row>
    <row r="183" spans="1:42" collapsed="1" x14ac:dyDescent="0.3">
      <c r="A183" s="1" t="s">
        <v>126</v>
      </c>
      <c r="B183" s="2"/>
      <c r="C183" s="2"/>
      <c r="D183" s="1"/>
      <c r="E183" s="13"/>
      <c r="F183" s="20" t="str">
        <f>BitsTo32Bit(F184:F188)</f>
        <v>$F$184 should be less than or equal to 1</v>
      </c>
      <c r="G183" s="14"/>
      <c r="H183" s="14"/>
      <c r="I183" s="14"/>
      <c r="J183" s="20" t="str">
        <f>BitsTo32Bit(J184:J188)</f>
        <v>$J$184 should be less than or equal to 1</v>
      </c>
      <c r="K183" s="14"/>
      <c r="L183" s="20" t="str">
        <f>BitsTo32Bit(L184:L188)</f>
        <v>$L$184 should be less than or equal to 1</v>
      </c>
      <c r="M183" s="14"/>
      <c r="N183" s="20" t="str">
        <f>BitsTo32Bit(N184:N188)</f>
        <v>$N$184 should be less than or equal to 1</v>
      </c>
      <c r="O183" s="14"/>
      <c r="P183" s="20" t="str">
        <f>BitsTo32Bit(P184:P188)</f>
        <v>$P$184 should be less than or equal to 1</v>
      </c>
      <c r="Q183" s="14"/>
      <c r="R183" s="20" t="str">
        <f>BitsTo32Bit(R184:R188)</f>
        <v>$R$184 should be less than or equal to 1</v>
      </c>
      <c r="S183" s="14"/>
      <c r="T183" s="14"/>
      <c r="U183" s="14"/>
      <c r="V183" s="14"/>
      <c r="W183" s="14"/>
      <c r="X183" s="13"/>
      <c r="Y183" s="13"/>
      <c r="Z183" s="20" t="str">
        <f>BitsTo32Bit(Z184:Z188)</f>
        <v>$Z$187 should be less than or equal to 1</v>
      </c>
      <c r="AA183" s="13"/>
      <c r="AB183" s="20" t="str">
        <f>BitsTo32Bit(AB184:AB188)</f>
        <v>0</v>
      </c>
      <c r="AC183" s="13"/>
      <c r="AD183" s="20" t="str">
        <f>BitsTo32Bit(AD184:AD188)</f>
        <v>0</v>
      </c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7"/>
    </row>
    <row r="184" spans="1:42" hidden="1" outlineLevel="1" x14ac:dyDescent="0.3">
      <c r="A184" s="1"/>
      <c r="B184" s="2">
        <v>31</v>
      </c>
      <c r="C184" s="2">
        <v>16</v>
      </c>
      <c r="D184" s="1" t="s">
        <v>127</v>
      </c>
      <c r="E184" s="13"/>
      <c r="F184" s="18" t="s">
        <v>175</v>
      </c>
      <c r="G184" s="14"/>
      <c r="H184" s="14"/>
      <c r="I184" s="14"/>
      <c r="J184" s="18" t="s">
        <v>175</v>
      </c>
      <c r="K184" s="14"/>
      <c r="L184" s="18" t="s">
        <v>175</v>
      </c>
      <c r="M184" s="14"/>
      <c r="N184" s="18" t="s">
        <v>175</v>
      </c>
      <c r="O184" s="14"/>
      <c r="P184" s="18" t="s">
        <v>175</v>
      </c>
      <c r="Q184" s="14"/>
      <c r="R184" s="18" t="s">
        <v>175</v>
      </c>
      <c r="S184" s="14"/>
      <c r="T184" s="14"/>
      <c r="U184" s="14"/>
      <c r="V184" s="14"/>
      <c r="W184" s="14"/>
      <c r="X184" s="13"/>
      <c r="Y184" s="13"/>
      <c r="Z184" s="18">
        <v>0</v>
      </c>
      <c r="AA184" s="13"/>
      <c r="AB184" s="18">
        <v>0</v>
      </c>
      <c r="AC184" s="13"/>
      <c r="AD184" s="18">
        <v>0</v>
      </c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7"/>
    </row>
    <row r="185" spans="1:42" hidden="1" outlineLevel="1" x14ac:dyDescent="0.3">
      <c r="A185" s="1"/>
      <c r="B185" s="2">
        <v>15</v>
      </c>
      <c r="C185" s="2">
        <v>6</v>
      </c>
      <c r="D185" s="1" t="s">
        <v>1</v>
      </c>
      <c r="E185" s="13"/>
      <c r="F185" s="15">
        <v>0</v>
      </c>
      <c r="G185" s="14"/>
      <c r="H185" s="14"/>
      <c r="I185" s="14"/>
      <c r="J185" s="15">
        <v>0</v>
      </c>
      <c r="K185" s="14"/>
      <c r="L185" s="15">
        <v>0</v>
      </c>
      <c r="M185" s="14"/>
      <c r="N185" s="15">
        <v>0</v>
      </c>
      <c r="O185" s="14"/>
      <c r="P185" s="15">
        <v>0</v>
      </c>
      <c r="Q185" s="14"/>
      <c r="R185" s="15">
        <v>0</v>
      </c>
      <c r="S185" s="14"/>
      <c r="T185" s="14"/>
      <c r="U185" s="14"/>
      <c r="V185" s="14"/>
      <c r="W185" s="14"/>
      <c r="X185" s="13"/>
      <c r="Y185" s="13"/>
      <c r="Z185" s="15">
        <v>0</v>
      </c>
      <c r="AA185" s="13"/>
      <c r="AB185" s="15">
        <v>0</v>
      </c>
      <c r="AC185" s="13"/>
      <c r="AD185" s="15">
        <v>0</v>
      </c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7"/>
    </row>
    <row r="186" spans="1:42" hidden="1" outlineLevel="1" x14ac:dyDescent="0.3">
      <c r="A186" s="1"/>
      <c r="B186" s="2">
        <v>5</v>
      </c>
      <c r="C186" s="2">
        <v>5</v>
      </c>
      <c r="D186" s="1" t="s">
        <v>313</v>
      </c>
      <c r="E186" s="13"/>
      <c r="F186" s="15">
        <v>1</v>
      </c>
      <c r="G186" s="14"/>
      <c r="H186" s="14"/>
      <c r="I186" s="14"/>
      <c r="J186" s="15">
        <v>1</v>
      </c>
      <c r="K186" s="14"/>
      <c r="L186" s="15">
        <v>1</v>
      </c>
      <c r="M186" s="14"/>
      <c r="N186" s="15">
        <v>1</v>
      </c>
      <c r="O186" s="14"/>
      <c r="P186" s="15">
        <v>1</v>
      </c>
      <c r="Q186" s="14"/>
      <c r="R186" s="15">
        <v>1</v>
      </c>
      <c r="S186" s="14"/>
      <c r="T186" s="14"/>
      <c r="U186" s="14"/>
      <c r="V186" s="14"/>
      <c r="W186" s="14"/>
      <c r="X186" s="13"/>
      <c r="Y186" s="13"/>
      <c r="Z186" s="15">
        <v>0</v>
      </c>
      <c r="AA186" s="13"/>
      <c r="AB186" s="15">
        <v>0</v>
      </c>
      <c r="AC186" s="13"/>
      <c r="AD186" s="15">
        <v>0</v>
      </c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7"/>
    </row>
    <row r="187" spans="1:42" hidden="1" outlineLevel="1" x14ac:dyDescent="0.3">
      <c r="A187" s="1"/>
      <c r="B187" s="2">
        <v>4</v>
      </c>
      <c r="C187" s="2">
        <v>1</v>
      </c>
      <c r="D187" s="1" t="s">
        <v>128</v>
      </c>
      <c r="E187" s="13"/>
      <c r="F187" s="18">
        <v>7</v>
      </c>
      <c r="G187" s="14"/>
      <c r="H187" s="14"/>
      <c r="I187" s="14"/>
      <c r="J187" s="18">
        <v>7</v>
      </c>
      <c r="K187" s="14"/>
      <c r="L187" s="18">
        <v>7</v>
      </c>
      <c r="M187" s="14"/>
      <c r="N187" s="18">
        <v>7</v>
      </c>
      <c r="O187" s="14"/>
      <c r="P187" s="18">
        <v>7</v>
      </c>
      <c r="Q187" s="14"/>
      <c r="R187" s="18">
        <v>7</v>
      </c>
      <c r="S187" s="14"/>
      <c r="T187" s="14"/>
      <c r="U187" s="14"/>
      <c r="V187" s="14"/>
      <c r="W187" s="14"/>
      <c r="X187" s="13"/>
      <c r="Y187" s="13"/>
      <c r="Z187" s="18" t="s">
        <v>305</v>
      </c>
      <c r="AA187" s="13"/>
      <c r="AB187" s="18">
        <v>0</v>
      </c>
      <c r="AC187" s="13"/>
      <c r="AD187" s="18">
        <v>0</v>
      </c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7"/>
    </row>
    <row r="188" spans="1:42" hidden="1" outlineLevel="1" x14ac:dyDescent="0.3">
      <c r="A188" s="1"/>
      <c r="B188" s="2">
        <v>0</v>
      </c>
      <c r="C188" s="2">
        <v>0</v>
      </c>
      <c r="D188" s="1" t="s">
        <v>129</v>
      </c>
      <c r="E188" s="13"/>
      <c r="F188" s="18">
        <v>0</v>
      </c>
      <c r="G188" s="14"/>
      <c r="H188" s="14"/>
      <c r="I188" s="14"/>
      <c r="J188" s="18">
        <v>0</v>
      </c>
      <c r="K188" s="14"/>
      <c r="L188" s="18">
        <v>0</v>
      </c>
      <c r="M188" s="14"/>
      <c r="N188" s="18">
        <v>0</v>
      </c>
      <c r="O188" s="14"/>
      <c r="P188" s="18">
        <v>0</v>
      </c>
      <c r="Q188" s="14"/>
      <c r="R188" s="18">
        <v>0</v>
      </c>
      <c r="S188" s="14"/>
      <c r="T188" s="14"/>
      <c r="U188" s="14"/>
      <c r="V188" s="14"/>
      <c r="W188" s="14"/>
      <c r="X188" s="13"/>
      <c r="Y188" s="13"/>
      <c r="Z188" s="18">
        <v>1</v>
      </c>
      <c r="AA188" s="13"/>
      <c r="AB188" s="18">
        <v>0</v>
      </c>
      <c r="AC188" s="13"/>
      <c r="AD188" s="18">
        <v>0</v>
      </c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7"/>
    </row>
    <row r="189" spans="1:42" collapsed="1" x14ac:dyDescent="0.3">
      <c r="A189" s="1" t="s">
        <v>130</v>
      </c>
      <c r="B189" s="2"/>
      <c r="C189" s="2"/>
      <c r="D189" s="1"/>
      <c r="E189" s="13"/>
      <c r="F189" s="20" t="str">
        <f>BitsTo32Bit(F190:F193)</f>
        <v>0</v>
      </c>
      <c r="G189" s="14"/>
      <c r="H189" s="14"/>
      <c r="I189" s="14"/>
      <c r="J189" s="20" t="str">
        <f>BitsTo32Bit(J190:J193)</f>
        <v>0</v>
      </c>
      <c r="K189" s="14"/>
      <c r="L189" s="20" t="str">
        <f>BitsTo32Bit(L190:L193)</f>
        <v>0</v>
      </c>
      <c r="M189" s="14"/>
      <c r="N189" s="20" t="str">
        <f>BitsTo32Bit(N190:N193)</f>
        <v>0</v>
      </c>
      <c r="O189" s="14"/>
      <c r="P189" s="20" t="str">
        <f>BitsTo32Bit(P190:P193)</f>
        <v>0</v>
      </c>
      <c r="Q189" s="14"/>
      <c r="R189" s="20" t="str">
        <f>BitsTo32Bit(R190:R193)</f>
        <v>0</v>
      </c>
      <c r="S189" s="14"/>
      <c r="T189" s="14"/>
      <c r="U189" s="14"/>
      <c r="V189" s="14"/>
      <c r="W189" s="14"/>
      <c r="X189" s="13"/>
      <c r="Y189" s="13"/>
      <c r="Z189" s="20" t="str">
        <f>BitsTo32Bit(Z190:Z193)</f>
        <v>0</v>
      </c>
      <c r="AA189" s="13"/>
      <c r="AB189" s="20" t="str">
        <f>BitsTo32Bit(AB190:AB193)</f>
        <v>0</v>
      </c>
      <c r="AC189" s="13"/>
      <c r="AD189" s="20" t="str">
        <f>BitsTo32Bit(AD190:AD193)</f>
        <v>0</v>
      </c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7"/>
    </row>
    <row r="190" spans="1:42" hidden="1" outlineLevel="1" x14ac:dyDescent="0.3">
      <c r="A190" s="1"/>
      <c r="B190" s="2">
        <v>31</v>
      </c>
      <c r="C190" s="2">
        <v>16</v>
      </c>
      <c r="D190" s="1" t="s">
        <v>131</v>
      </c>
      <c r="E190" s="13"/>
      <c r="F190" s="18">
        <v>0</v>
      </c>
      <c r="G190" s="14"/>
      <c r="H190" s="14"/>
      <c r="I190" s="14"/>
      <c r="J190" s="18">
        <v>0</v>
      </c>
      <c r="K190" s="14"/>
      <c r="L190" s="18">
        <v>0</v>
      </c>
      <c r="M190" s="14"/>
      <c r="N190" s="18">
        <v>0</v>
      </c>
      <c r="O190" s="14"/>
      <c r="P190" s="18">
        <v>0</v>
      </c>
      <c r="Q190" s="14"/>
      <c r="R190" s="18">
        <v>0</v>
      </c>
      <c r="S190" s="14"/>
      <c r="T190" s="14"/>
      <c r="U190" s="14"/>
      <c r="V190" s="14"/>
      <c r="W190" s="14"/>
      <c r="X190" s="13"/>
      <c r="Y190" s="13"/>
      <c r="Z190" s="18">
        <v>0</v>
      </c>
      <c r="AA190" s="13"/>
      <c r="AB190" s="18">
        <v>0</v>
      </c>
      <c r="AC190" s="13"/>
      <c r="AD190" s="18">
        <v>0</v>
      </c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7"/>
    </row>
    <row r="191" spans="1:42" hidden="1" outlineLevel="1" x14ac:dyDescent="0.3">
      <c r="A191" s="1"/>
      <c r="B191" s="2">
        <v>15</v>
      </c>
      <c r="C191" s="2">
        <v>5</v>
      </c>
      <c r="D191" s="1" t="s">
        <v>1</v>
      </c>
      <c r="E191" s="13"/>
      <c r="F191" s="15">
        <v>0</v>
      </c>
      <c r="G191" s="14"/>
      <c r="H191" s="14"/>
      <c r="I191" s="14"/>
      <c r="J191" s="18">
        <v>0</v>
      </c>
      <c r="K191" s="14"/>
      <c r="L191" s="18">
        <v>0</v>
      </c>
      <c r="M191" s="14"/>
      <c r="N191" s="18">
        <v>0</v>
      </c>
      <c r="O191" s="14"/>
      <c r="P191" s="18">
        <v>0</v>
      </c>
      <c r="Q191" s="14"/>
      <c r="R191" s="18">
        <v>0</v>
      </c>
      <c r="S191" s="14"/>
      <c r="T191" s="14"/>
      <c r="U191" s="14"/>
      <c r="V191" s="14"/>
      <c r="W191" s="14"/>
      <c r="X191" s="13"/>
      <c r="Y191" s="13"/>
      <c r="Z191" s="15">
        <v>0</v>
      </c>
      <c r="AA191" s="13"/>
      <c r="AB191" s="15">
        <v>0</v>
      </c>
      <c r="AC191" s="13"/>
      <c r="AD191" s="15">
        <v>0</v>
      </c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7"/>
    </row>
    <row r="192" spans="1:42" hidden="1" outlineLevel="1" x14ac:dyDescent="0.3">
      <c r="A192" s="1"/>
      <c r="B192" s="2">
        <v>4</v>
      </c>
      <c r="C192" s="2">
        <v>1</v>
      </c>
      <c r="D192" s="1" t="s">
        <v>132</v>
      </c>
      <c r="E192" s="13"/>
      <c r="F192" s="18">
        <v>0</v>
      </c>
      <c r="G192" s="14"/>
      <c r="H192" s="14"/>
      <c r="I192" s="14"/>
      <c r="J192" s="18">
        <v>0</v>
      </c>
      <c r="K192" s="14"/>
      <c r="L192" s="18">
        <v>0</v>
      </c>
      <c r="M192" s="14"/>
      <c r="N192" s="18">
        <v>0</v>
      </c>
      <c r="O192" s="14"/>
      <c r="P192" s="18">
        <v>0</v>
      </c>
      <c r="Q192" s="14"/>
      <c r="R192" s="18">
        <v>0</v>
      </c>
      <c r="S192" s="14"/>
      <c r="T192" s="14"/>
      <c r="U192" s="14"/>
      <c r="V192" s="14"/>
      <c r="W192" s="14"/>
      <c r="X192" s="13"/>
      <c r="Y192" s="13"/>
      <c r="Z192" s="18">
        <v>0</v>
      </c>
      <c r="AA192" s="13"/>
      <c r="AB192" s="18">
        <v>0</v>
      </c>
      <c r="AC192" s="13"/>
      <c r="AD192" s="18">
        <v>0</v>
      </c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7"/>
    </row>
    <row r="193" spans="1:42" hidden="1" outlineLevel="1" x14ac:dyDescent="0.3">
      <c r="A193" s="1"/>
      <c r="B193" s="2">
        <v>0</v>
      </c>
      <c r="C193" s="2">
        <v>0</v>
      </c>
      <c r="D193" s="1" t="s">
        <v>133</v>
      </c>
      <c r="E193" s="13"/>
      <c r="F193" s="18">
        <v>0</v>
      </c>
      <c r="G193" s="14"/>
      <c r="H193" s="14"/>
      <c r="I193" s="14"/>
      <c r="J193" s="18">
        <v>0</v>
      </c>
      <c r="K193" s="14"/>
      <c r="L193" s="18">
        <v>0</v>
      </c>
      <c r="M193" s="14"/>
      <c r="N193" s="18">
        <v>0</v>
      </c>
      <c r="O193" s="14"/>
      <c r="P193" s="18">
        <v>0</v>
      </c>
      <c r="Q193" s="14"/>
      <c r="R193" s="18">
        <v>0</v>
      </c>
      <c r="S193" s="14"/>
      <c r="T193" s="14"/>
      <c r="U193" s="14"/>
      <c r="V193" s="14"/>
      <c r="W193" s="14"/>
      <c r="X193" s="13"/>
      <c r="Y193" s="13"/>
      <c r="Z193" s="18">
        <v>0</v>
      </c>
      <c r="AA193" s="13"/>
      <c r="AB193" s="18">
        <v>0</v>
      </c>
      <c r="AC193" s="13"/>
      <c r="AD193" s="18">
        <v>0</v>
      </c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7"/>
    </row>
    <row r="194" spans="1:42" collapsed="1" x14ac:dyDescent="0.3">
      <c r="A194" s="3" t="s">
        <v>176</v>
      </c>
      <c r="B194" s="4"/>
      <c r="C194" s="4"/>
      <c r="D194" s="3"/>
      <c r="E194" s="13"/>
      <c r="F194" s="20" t="str">
        <f>BitsTo32Bit(F195:F202)</f>
        <v>0</v>
      </c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3"/>
      <c r="Y194" s="13"/>
      <c r="Z194" s="20" t="str">
        <f>BitsTo32Bit(Z195:Z202)</f>
        <v>$Z$196 should be less than or equal to 1</v>
      </c>
      <c r="AA194" s="13"/>
      <c r="AB194" s="20" t="str">
        <f>BitsTo32Bit(AB195:AB202)</f>
        <v>$AB$196 should be less than or equal to 1</v>
      </c>
      <c r="AC194" s="13"/>
      <c r="AD194" s="20" t="str">
        <f>BitsTo32Bit(AD195:AD202)</f>
        <v>$AD$196 should be less than or equal to 1</v>
      </c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7"/>
    </row>
    <row r="195" spans="1:42" hidden="1" outlineLevel="1" x14ac:dyDescent="0.3">
      <c r="A195" s="3"/>
      <c r="B195" s="4">
        <v>31</v>
      </c>
      <c r="C195" s="4">
        <v>29</v>
      </c>
      <c r="D195" s="3" t="s">
        <v>1</v>
      </c>
      <c r="E195" s="13"/>
      <c r="F195" s="18">
        <v>0</v>
      </c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3"/>
      <c r="Y195" s="13"/>
      <c r="Z195" s="15">
        <v>0</v>
      </c>
      <c r="AA195" s="13"/>
      <c r="AB195" s="15">
        <v>0</v>
      </c>
      <c r="AC195" s="13"/>
      <c r="AD195" s="15">
        <v>0</v>
      </c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7"/>
    </row>
    <row r="196" spans="1:42" hidden="1" outlineLevel="1" x14ac:dyDescent="0.3">
      <c r="A196" s="3"/>
      <c r="B196" s="4">
        <v>28</v>
      </c>
      <c r="C196" s="4">
        <v>24</v>
      </c>
      <c r="D196" s="3" t="s">
        <v>177</v>
      </c>
      <c r="E196" s="13"/>
      <c r="F196" s="18">
        <v>0</v>
      </c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3"/>
      <c r="Y196" s="13"/>
      <c r="Z196" s="18" t="s">
        <v>209</v>
      </c>
      <c r="AA196" s="13"/>
      <c r="AB196" s="18">
        <v>7</v>
      </c>
      <c r="AC196" s="13"/>
      <c r="AD196" s="18">
        <v>7</v>
      </c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7"/>
    </row>
    <row r="197" spans="1:42" hidden="1" outlineLevel="1" x14ac:dyDescent="0.3">
      <c r="A197" s="3"/>
      <c r="B197" s="4">
        <v>23</v>
      </c>
      <c r="C197" s="4">
        <v>18</v>
      </c>
      <c r="D197" s="3" t="s">
        <v>1</v>
      </c>
      <c r="E197" s="13"/>
      <c r="F197" s="18">
        <v>0</v>
      </c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3"/>
      <c r="Y197" s="13"/>
      <c r="Z197" s="15">
        <v>0</v>
      </c>
      <c r="AA197" s="13"/>
      <c r="AB197" s="15">
        <v>0</v>
      </c>
      <c r="AC197" s="13"/>
      <c r="AD197" s="15">
        <v>0</v>
      </c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7"/>
    </row>
    <row r="198" spans="1:42" hidden="1" outlineLevel="1" x14ac:dyDescent="0.3">
      <c r="A198" s="3"/>
      <c r="B198" s="4">
        <v>17</v>
      </c>
      <c r="C198" s="4">
        <v>17</v>
      </c>
      <c r="D198" s="3" t="s">
        <v>178</v>
      </c>
      <c r="E198" s="13"/>
      <c r="F198" s="18">
        <v>0</v>
      </c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3"/>
      <c r="Y198" s="13"/>
      <c r="Z198" s="15">
        <v>0</v>
      </c>
      <c r="AA198" s="13"/>
      <c r="AB198" s="15">
        <v>0</v>
      </c>
      <c r="AC198" s="13"/>
      <c r="AD198" s="15">
        <v>1</v>
      </c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7"/>
    </row>
    <row r="199" spans="1:42" hidden="1" outlineLevel="1" x14ac:dyDescent="0.3">
      <c r="A199" s="3"/>
      <c r="B199" s="4">
        <v>16</v>
      </c>
      <c r="C199" s="4">
        <v>12</v>
      </c>
      <c r="D199" s="3" t="s">
        <v>1</v>
      </c>
      <c r="E199" s="13"/>
      <c r="F199" s="18">
        <v>0</v>
      </c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3"/>
      <c r="Y199" s="13"/>
      <c r="Z199" s="15">
        <v>0</v>
      </c>
      <c r="AA199" s="13"/>
      <c r="AB199" s="15">
        <v>0</v>
      </c>
      <c r="AC199" s="13"/>
      <c r="AD199" s="15">
        <v>0</v>
      </c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7"/>
    </row>
    <row r="200" spans="1:42" hidden="1" outlineLevel="1" x14ac:dyDescent="0.3">
      <c r="A200" s="3"/>
      <c r="B200" s="4">
        <v>11</v>
      </c>
      <c r="C200" s="4">
        <v>8</v>
      </c>
      <c r="D200" s="3" t="s">
        <v>179</v>
      </c>
      <c r="E200" s="13"/>
      <c r="F200" s="18">
        <v>0</v>
      </c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3"/>
      <c r="Y200" s="13"/>
      <c r="Z200" s="18" t="s">
        <v>117</v>
      </c>
      <c r="AA200" s="13"/>
      <c r="AB200" s="18" t="s">
        <v>117</v>
      </c>
      <c r="AC200" s="13"/>
      <c r="AD200" s="18" t="s">
        <v>117</v>
      </c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7"/>
    </row>
    <row r="201" spans="1:42" hidden="1" outlineLevel="1" x14ac:dyDescent="0.3">
      <c r="A201" s="3"/>
      <c r="B201" s="4">
        <v>7</v>
      </c>
      <c r="C201" s="4">
        <v>4</v>
      </c>
      <c r="D201" s="3" t="s">
        <v>180</v>
      </c>
      <c r="E201" s="13"/>
      <c r="F201" s="18">
        <v>0</v>
      </c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3"/>
      <c r="Y201" s="13"/>
      <c r="Z201" s="18">
        <v>4</v>
      </c>
      <c r="AA201" s="13"/>
      <c r="AB201" s="18">
        <v>3</v>
      </c>
      <c r="AC201" s="13"/>
      <c r="AD201" s="18">
        <v>3</v>
      </c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7"/>
    </row>
    <row r="202" spans="1:42" hidden="1" outlineLevel="1" x14ac:dyDescent="0.3">
      <c r="A202" s="3"/>
      <c r="B202" s="4">
        <v>3</v>
      </c>
      <c r="C202" s="4">
        <v>0</v>
      </c>
      <c r="D202" s="3" t="s">
        <v>181</v>
      </c>
      <c r="E202" s="13"/>
      <c r="F202" s="18">
        <v>0</v>
      </c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3"/>
      <c r="Y202" s="13"/>
      <c r="Z202" s="18">
        <v>4</v>
      </c>
      <c r="AA202" s="13"/>
      <c r="AB202" s="18">
        <v>3</v>
      </c>
      <c r="AC202" s="13"/>
      <c r="AD202" s="18">
        <v>3</v>
      </c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7"/>
    </row>
    <row r="203" spans="1:42" collapsed="1" x14ac:dyDescent="0.3">
      <c r="A203" s="46" t="s">
        <v>137</v>
      </c>
      <c r="B203" s="2"/>
      <c r="C203" s="2"/>
      <c r="D203" s="1"/>
      <c r="E203" s="13"/>
      <c r="F203" s="20" t="str">
        <f>BitsTo32Bit(F204:F220)</f>
        <v>2</v>
      </c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20" t="str">
        <f>BitsTo32Bit(X204:X220)</f>
        <v>0</v>
      </c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7"/>
    </row>
    <row r="204" spans="1:42" hidden="1" outlineLevel="1" x14ac:dyDescent="0.3">
      <c r="A204" s="1"/>
      <c r="B204" s="2">
        <v>31</v>
      </c>
      <c r="C204" s="2">
        <v>18</v>
      </c>
      <c r="D204" s="1" t="s">
        <v>1</v>
      </c>
      <c r="E204" s="13"/>
      <c r="F204" s="15">
        <v>0</v>
      </c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5">
        <v>0</v>
      </c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7"/>
    </row>
    <row r="205" spans="1:42" hidden="1" outlineLevel="1" x14ac:dyDescent="0.3">
      <c r="A205" s="1"/>
      <c r="B205" s="2">
        <v>17</v>
      </c>
      <c r="C205" s="2">
        <v>17</v>
      </c>
      <c r="D205" s="1" t="s">
        <v>138</v>
      </c>
      <c r="E205" s="13"/>
      <c r="F205" s="15">
        <v>0</v>
      </c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5">
        <v>0</v>
      </c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7"/>
    </row>
    <row r="206" spans="1:42" hidden="1" outlineLevel="1" x14ac:dyDescent="0.3">
      <c r="A206" s="1"/>
      <c r="B206" s="2">
        <v>16</v>
      </c>
      <c r="C206" s="2">
        <v>16</v>
      </c>
      <c r="D206" s="1" t="s">
        <v>139</v>
      </c>
      <c r="E206" s="13"/>
      <c r="F206" s="15">
        <v>0</v>
      </c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5">
        <v>0</v>
      </c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7"/>
    </row>
    <row r="207" spans="1:42" hidden="1" outlineLevel="1" x14ac:dyDescent="0.3">
      <c r="A207" s="1"/>
      <c r="B207" s="2">
        <v>15</v>
      </c>
      <c r="C207" s="2">
        <v>15</v>
      </c>
      <c r="D207" s="1" t="s">
        <v>1</v>
      </c>
      <c r="E207" s="13"/>
      <c r="F207" s="15">
        <v>0</v>
      </c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5">
        <v>0</v>
      </c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7"/>
    </row>
    <row r="208" spans="1:42" hidden="1" outlineLevel="1" x14ac:dyDescent="0.3">
      <c r="A208" s="1"/>
      <c r="B208" s="2">
        <v>14</v>
      </c>
      <c r="C208" s="2">
        <v>13</v>
      </c>
      <c r="D208" s="1" t="s">
        <v>314</v>
      </c>
      <c r="E208" s="13"/>
      <c r="F208" s="15">
        <v>0</v>
      </c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5">
        <v>0</v>
      </c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7"/>
    </row>
    <row r="209" spans="1:42" hidden="1" outlineLevel="1" x14ac:dyDescent="0.3">
      <c r="A209" s="1"/>
      <c r="B209" s="2">
        <v>12</v>
      </c>
      <c r="C209" s="2">
        <v>12</v>
      </c>
      <c r="D209" s="1" t="s">
        <v>315</v>
      </c>
      <c r="E209" s="13"/>
      <c r="F209" s="15">
        <v>0</v>
      </c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5">
        <v>0</v>
      </c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7"/>
    </row>
    <row r="210" spans="1:42" hidden="1" outlineLevel="1" x14ac:dyDescent="0.3">
      <c r="A210" s="1"/>
      <c r="B210" s="2">
        <v>11</v>
      </c>
      <c r="C210" s="2">
        <v>11</v>
      </c>
      <c r="D210" s="1" t="s">
        <v>1</v>
      </c>
      <c r="E210" s="13"/>
      <c r="F210" s="15">
        <v>0</v>
      </c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5">
        <v>0</v>
      </c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7"/>
    </row>
    <row r="211" spans="1:42" hidden="1" outlineLevel="1" x14ac:dyDescent="0.3">
      <c r="A211" s="1"/>
      <c r="B211" s="2">
        <v>10</v>
      </c>
      <c r="C211" s="2">
        <v>10</v>
      </c>
      <c r="D211" s="1" t="s">
        <v>316</v>
      </c>
      <c r="E211" s="13"/>
      <c r="F211" s="15">
        <v>0</v>
      </c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5">
        <v>0</v>
      </c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7"/>
    </row>
    <row r="212" spans="1:42" hidden="1" outlineLevel="1" x14ac:dyDescent="0.3">
      <c r="A212" s="1"/>
      <c r="B212" s="2">
        <v>9</v>
      </c>
      <c r="C212" s="2">
        <v>9</v>
      </c>
      <c r="D212" s="1" t="s">
        <v>317</v>
      </c>
      <c r="E212" s="13"/>
      <c r="F212" s="15">
        <v>0</v>
      </c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5">
        <v>0</v>
      </c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7"/>
    </row>
    <row r="213" spans="1:42" hidden="1" outlineLevel="1" x14ac:dyDescent="0.3">
      <c r="A213" s="1"/>
      <c r="B213" s="2">
        <v>8</v>
      </c>
      <c r="C213" s="2">
        <v>8</v>
      </c>
      <c r="D213" s="1" t="s">
        <v>140</v>
      </c>
      <c r="E213" s="13"/>
      <c r="F213" s="18">
        <v>0</v>
      </c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8">
        <v>0</v>
      </c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7"/>
    </row>
    <row r="214" spans="1:42" hidden="1" outlineLevel="1" x14ac:dyDescent="0.3">
      <c r="A214" s="1"/>
      <c r="B214" s="2">
        <v>7</v>
      </c>
      <c r="C214" s="2">
        <v>7</v>
      </c>
      <c r="D214" s="1" t="s">
        <v>1</v>
      </c>
      <c r="E214" s="13"/>
      <c r="F214" s="15">
        <v>0</v>
      </c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5">
        <v>0</v>
      </c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7"/>
    </row>
    <row r="215" spans="1:42" hidden="1" outlineLevel="1" x14ac:dyDescent="0.3">
      <c r="A215" s="1"/>
      <c r="B215" s="2">
        <v>6</v>
      </c>
      <c r="C215" s="2">
        <v>6</v>
      </c>
      <c r="D215" s="1" t="s">
        <v>141</v>
      </c>
      <c r="E215" s="13"/>
      <c r="F215" s="18">
        <v>0</v>
      </c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8">
        <v>0</v>
      </c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7"/>
    </row>
    <row r="216" spans="1:42" hidden="1" outlineLevel="1" x14ac:dyDescent="0.3">
      <c r="A216" s="1"/>
      <c r="B216" s="2">
        <v>5</v>
      </c>
      <c r="C216" s="2">
        <v>5</v>
      </c>
      <c r="D216" s="1" t="s">
        <v>142</v>
      </c>
      <c r="E216" s="13"/>
      <c r="F216" s="18">
        <v>1</v>
      </c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8">
        <v>0</v>
      </c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7"/>
    </row>
    <row r="217" spans="1:42" hidden="1" outlineLevel="1" x14ac:dyDescent="0.3">
      <c r="A217" s="1"/>
      <c r="B217" s="2">
        <v>4</v>
      </c>
      <c r="C217" s="2">
        <v>4</v>
      </c>
      <c r="D217" s="1" t="s">
        <v>143</v>
      </c>
      <c r="E217" s="13"/>
      <c r="F217" s="18">
        <v>0</v>
      </c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8">
        <v>0</v>
      </c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7"/>
    </row>
    <row r="218" spans="1:42" hidden="1" outlineLevel="1" x14ac:dyDescent="0.3">
      <c r="A218" s="1"/>
      <c r="B218" s="2">
        <v>3</v>
      </c>
      <c r="C218" s="2">
        <v>3</v>
      </c>
      <c r="D218" s="1" t="s">
        <v>144</v>
      </c>
      <c r="E218" s="13"/>
      <c r="F218" s="18">
        <v>1</v>
      </c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8">
        <v>0</v>
      </c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7"/>
    </row>
    <row r="219" spans="1:42" hidden="1" outlineLevel="1" x14ac:dyDescent="0.3">
      <c r="A219" s="1"/>
      <c r="B219" s="2">
        <v>2</v>
      </c>
      <c r="C219" s="2">
        <v>2</v>
      </c>
      <c r="D219" s="1" t="s">
        <v>145</v>
      </c>
      <c r="E219" s="13"/>
      <c r="F219" s="15">
        <v>0</v>
      </c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5">
        <v>0</v>
      </c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7"/>
    </row>
    <row r="220" spans="1:42" hidden="1" outlineLevel="1" x14ac:dyDescent="0.3">
      <c r="A220" s="1"/>
      <c r="B220" s="2">
        <v>1</v>
      </c>
      <c r="C220" s="2">
        <v>0</v>
      </c>
      <c r="D220" s="1" t="s">
        <v>146</v>
      </c>
      <c r="E220" s="13"/>
      <c r="F220" s="15">
        <v>0</v>
      </c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5">
        <v>0</v>
      </c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7"/>
    </row>
    <row r="221" spans="1:42" collapsed="1" x14ac:dyDescent="0.3">
      <c r="A221" s="1" t="s">
        <v>147</v>
      </c>
      <c r="B221" s="2"/>
      <c r="C221" s="2"/>
      <c r="D221" s="1"/>
      <c r="E221" s="13"/>
      <c r="F221" s="20" t="str">
        <f>BitsTo32Bit(F222:F227)</f>
        <v>2</v>
      </c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20" t="str">
        <f>BitsTo32Bit(R222:R227)</f>
        <v>2</v>
      </c>
      <c r="S221" s="14"/>
      <c r="T221" s="14"/>
      <c r="U221" s="14"/>
      <c r="V221" s="14"/>
      <c r="W221" s="14"/>
      <c r="X221" s="20" t="str">
        <f>BitsTo32Bit(X222:X227)</f>
        <v>1</v>
      </c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7"/>
    </row>
    <row r="222" spans="1:42" hidden="1" outlineLevel="1" x14ac:dyDescent="0.3">
      <c r="A222" s="1"/>
      <c r="B222" s="2">
        <v>31</v>
      </c>
      <c r="C222" s="2">
        <v>7</v>
      </c>
      <c r="D222" s="1" t="s">
        <v>1</v>
      </c>
      <c r="E222" s="13"/>
      <c r="F222" s="15">
        <v>0</v>
      </c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8">
        <v>0</v>
      </c>
      <c r="S222" s="14"/>
      <c r="T222" s="14"/>
      <c r="U222" s="14"/>
      <c r="V222" s="14"/>
      <c r="W222" s="14"/>
      <c r="X222" s="18">
        <v>0</v>
      </c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7"/>
    </row>
    <row r="223" spans="1:42" hidden="1" outlineLevel="1" x14ac:dyDescent="0.3">
      <c r="A223" s="1"/>
      <c r="B223" s="2">
        <v>6</v>
      </c>
      <c r="C223" s="2">
        <v>6</v>
      </c>
      <c r="D223" s="1" t="s">
        <v>148</v>
      </c>
      <c r="E223" s="13"/>
      <c r="F223" s="15">
        <v>1</v>
      </c>
      <c r="G223" s="14"/>
      <c r="H223" s="41"/>
      <c r="I223" s="14"/>
      <c r="J223" s="14"/>
      <c r="K223" s="14"/>
      <c r="L223" s="14"/>
      <c r="M223" s="14"/>
      <c r="N223" s="14"/>
      <c r="O223" s="14"/>
      <c r="P223" s="14"/>
      <c r="Q223" s="14"/>
      <c r="R223" s="18">
        <v>1</v>
      </c>
      <c r="S223" s="14"/>
      <c r="T223" s="14"/>
      <c r="U223" s="14"/>
      <c r="V223" s="14"/>
      <c r="W223" s="14"/>
      <c r="X223" s="18">
        <v>0</v>
      </c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7"/>
    </row>
    <row r="224" spans="1:42" hidden="1" outlineLevel="1" x14ac:dyDescent="0.3">
      <c r="A224" s="1"/>
      <c r="B224" s="2">
        <v>5</v>
      </c>
      <c r="C224" s="2">
        <v>5</v>
      </c>
      <c r="D224" s="1" t="s">
        <v>149</v>
      </c>
      <c r="E224" s="13"/>
      <c r="F224" s="15">
        <v>0</v>
      </c>
      <c r="G224" s="14"/>
      <c r="H224" s="41"/>
      <c r="I224" s="14"/>
      <c r="J224" s="14"/>
      <c r="K224" s="14"/>
      <c r="L224" s="14"/>
      <c r="M224" s="14"/>
      <c r="N224" s="14"/>
      <c r="O224" s="14"/>
      <c r="P224" s="14"/>
      <c r="Q224" s="14"/>
      <c r="R224" s="18">
        <v>0</v>
      </c>
      <c r="S224" s="14"/>
      <c r="T224" s="14"/>
      <c r="U224" s="14"/>
      <c r="V224" s="14"/>
      <c r="W224" s="14"/>
      <c r="X224" s="18">
        <v>0</v>
      </c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7"/>
    </row>
    <row r="225" spans="1:42" hidden="1" outlineLevel="1" x14ac:dyDescent="0.3">
      <c r="A225" s="1"/>
      <c r="B225" s="2">
        <v>4</v>
      </c>
      <c r="C225" s="2">
        <v>4</v>
      </c>
      <c r="D225" s="1" t="s">
        <v>150</v>
      </c>
      <c r="E225" s="13"/>
      <c r="F225" s="15">
        <v>1</v>
      </c>
      <c r="G225" s="14"/>
      <c r="H225" s="41"/>
      <c r="I225" s="14"/>
      <c r="J225" s="14"/>
      <c r="K225" s="14"/>
      <c r="L225" s="14"/>
      <c r="M225" s="14"/>
      <c r="N225" s="14"/>
      <c r="O225" s="14"/>
      <c r="P225" s="14"/>
      <c r="Q225" s="14"/>
      <c r="R225" s="18">
        <v>1</v>
      </c>
      <c r="S225" s="14"/>
      <c r="T225" s="14"/>
      <c r="U225" s="14"/>
      <c r="V225" s="14"/>
      <c r="W225" s="14"/>
      <c r="X225" s="18">
        <v>1</v>
      </c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7"/>
    </row>
    <row r="226" spans="1:42" hidden="1" outlineLevel="1" x14ac:dyDescent="0.3">
      <c r="A226" s="1"/>
      <c r="B226" s="2">
        <v>3</v>
      </c>
      <c r="C226" s="2">
        <v>3</v>
      </c>
      <c r="D226" s="1" t="s">
        <v>151</v>
      </c>
      <c r="E226" s="13"/>
      <c r="F226" s="15">
        <v>0</v>
      </c>
      <c r="G226" s="14"/>
      <c r="H226" s="41"/>
      <c r="I226" s="14"/>
      <c r="J226" s="14"/>
      <c r="K226" s="14"/>
      <c r="L226" s="14"/>
      <c r="M226" s="14"/>
      <c r="N226" s="14"/>
      <c r="O226" s="14"/>
      <c r="P226" s="14"/>
      <c r="Q226" s="14"/>
      <c r="R226" s="18">
        <v>0</v>
      </c>
      <c r="S226" s="14"/>
      <c r="T226" s="14"/>
      <c r="U226" s="14"/>
      <c r="V226" s="14"/>
      <c r="W226" s="14"/>
      <c r="X226" s="18">
        <v>0</v>
      </c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7"/>
    </row>
    <row r="227" spans="1:42" hidden="1" outlineLevel="1" x14ac:dyDescent="0.3">
      <c r="A227" s="1"/>
      <c r="B227" s="2">
        <v>2</v>
      </c>
      <c r="C227" s="2">
        <v>0</v>
      </c>
      <c r="D227" s="1" t="s">
        <v>152</v>
      </c>
      <c r="E227" s="13"/>
      <c r="F227" s="18">
        <v>0</v>
      </c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8">
        <v>0</v>
      </c>
      <c r="S227" s="14"/>
      <c r="T227" s="14"/>
      <c r="U227" s="14"/>
      <c r="V227" s="14"/>
      <c r="W227" s="14"/>
      <c r="X227" s="18">
        <v>0</v>
      </c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7"/>
    </row>
    <row r="228" spans="1:42" collapsed="1" x14ac:dyDescent="0.3">
      <c r="A228" s="7" t="s">
        <v>182</v>
      </c>
      <c r="E228" s="7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7"/>
      <c r="Y228" s="7"/>
      <c r="Z228" s="20" t="str">
        <f>BitsTo32Bit(Z229:Z236)</f>
        <v>$Z$230 should be less than or equal to 1</v>
      </c>
      <c r="AA228" s="7"/>
      <c r="AB228" s="20" t="str">
        <f>BitsTo32Bit(AB229:AB236)</f>
        <v>$AB$236 should be less than or equal to 1</v>
      </c>
      <c r="AC228" s="7"/>
      <c r="AD228" s="20" t="str">
        <f>BitsTo32Bit(AD229:AD236)</f>
        <v>$AD$236 should be less than or equal to 1</v>
      </c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</row>
    <row r="229" spans="1:42" hidden="1" outlineLevel="1" x14ac:dyDescent="0.3">
      <c r="B229" s="7">
        <v>31</v>
      </c>
      <c r="C229" s="7">
        <v>24</v>
      </c>
      <c r="D229" s="7" t="s">
        <v>1</v>
      </c>
      <c r="E229" s="7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7"/>
      <c r="Y229" s="7"/>
      <c r="Z229" s="49">
        <v>0</v>
      </c>
      <c r="AA229" s="7"/>
      <c r="AB229" s="49">
        <v>0</v>
      </c>
      <c r="AC229" s="7"/>
      <c r="AD229" s="49">
        <v>0</v>
      </c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</row>
    <row r="230" spans="1:42" hidden="1" outlineLevel="1" x14ac:dyDescent="0.3">
      <c r="B230" s="7">
        <v>23</v>
      </c>
      <c r="C230" s="7">
        <v>16</v>
      </c>
      <c r="D230" s="7" t="s">
        <v>183</v>
      </c>
      <c r="E230" s="7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7"/>
      <c r="Y230" s="7"/>
      <c r="Z230" s="49">
        <v>23</v>
      </c>
      <c r="AA230" s="7"/>
      <c r="AB230" s="49">
        <v>0</v>
      </c>
      <c r="AC230" s="7"/>
      <c r="AD230" s="49">
        <v>0</v>
      </c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</row>
    <row r="231" spans="1:42" hidden="1" outlineLevel="1" x14ac:dyDescent="0.3">
      <c r="B231" s="7">
        <v>15</v>
      </c>
      <c r="C231" s="7">
        <v>9</v>
      </c>
      <c r="D231" s="7" t="s">
        <v>1</v>
      </c>
      <c r="E231" s="7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7"/>
      <c r="Y231" s="7"/>
      <c r="Z231" s="49">
        <v>0</v>
      </c>
      <c r="AA231" s="7"/>
      <c r="AB231" s="49">
        <v>0</v>
      </c>
      <c r="AC231" s="7"/>
      <c r="AD231" s="49">
        <v>0</v>
      </c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</row>
    <row r="232" spans="1:42" hidden="1" outlineLevel="1" x14ac:dyDescent="0.3">
      <c r="B232" s="7">
        <v>8</v>
      </c>
      <c r="C232" s="7">
        <v>8</v>
      </c>
      <c r="D232" s="7" t="s">
        <v>184</v>
      </c>
      <c r="E232" s="7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7"/>
      <c r="Y232" s="7"/>
      <c r="Z232" s="49">
        <v>1</v>
      </c>
      <c r="AA232" s="7"/>
      <c r="AB232" s="49">
        <v>0</v>
      </c>
      <c r="AC232" s="7"/>
      <c r="AD232" s="49">
        <v>0</v>
      </c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</row>
    <row r="233" spans="1:42" hidden="1" outlineLevel="1" x14ac:dyDescent="0.3">
      <c r="B233" s="7">
        <v>7</v>
      </c>
      <c r="C233" s="7">
        <v>7</v>
      </c>
      <c r="D233" s="7" t="s">
        <v>185</v>
      </c>
      <c r="E233" s="7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7"/>
      <c r="Y233" s="7"/>
      <c r="Z233" s="49">
        <v>0</v>
      </c>
      <c r="AA233" s="7"/>
      <c r="AB233" s="49">
        <v>0</v>
      </c>
      <c r="AC233" s="7"/>
      <c r="AD233" s="49">
        <v>0</v>
      </c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</row>
    <row r="234" spans="1:42" hidden="1" outlineLevel="1" x14ac:dyDescent="0.3">
      <c r="B234" s="7">
        <v>6</v>
      </c>
      <c r="C234" s="7">
        <v>4</v>
      </c>
      <c r="D234" s="7" t="s">
        <v>186</v>
      </c>
      <c r="E234" s="7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7"/>
      <c r="Y234" s="7"/>
      <c r="Z234" s="49">
        <v>0</v>
      </c>
      <c r="AA234" s="7"/>
      <c r="AB234" s="49">
        <v>1</v>
      </c>
      <c r="AC234" s="7"/>
      <c r="AD234" s="49">
        <v>1</v>
      </c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</row>
    <row r="235" spans="1:42" hidden="1" outlineLevel="1" x14ac:dyDescent="0.3">
      <c r="B235" s="7">
        <v>3</v>
      </c>
      <c r="C235" s="7">
        <v>3</v>
      </c>
      <c r="D235" s="7" t="s">
        <v>187</v>
      </c>
      <c r="E235" s="7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7"/>
      <c r="Y235" s="7"/>
      <c r="Z235" s="49">
        <v>0</v>
      </c>
      <c r="AA235" s="7"/>
      <c r="AB235" s="49">
        <v>0</v>
      </c>
      <c r="AC235" s="7"/>
      <c r="AD235" s="49">
        <v>0</v>
      </c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</row>
    <row r="236" spans="1:42" hidden="1" outlineLevel="1" x14ac:dyDescent="0.3">
      <c r="B236" s="7">
        <v>2</v>
      </c>
      <c r="C236" s="7">
        <v>0</v>
      </c>
      <c r="D236" s="7" t="s">
        <v>188</v>
      </c>
      <c r="E236" s="7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7"/>
      <c r="Y236" s="7"/>
      <c r="Z236" s="49">
        <v>4</v>
      </c>
      <c r="AA236" s="7"/>
      <c r="AB236" s="49">
        <v>5</v>
      </c>
      <c r="AC236" s="7"/>
      <c r="AD236" s="49">
        <v>6</v>
      </c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</row>
    <row r="237" spans="1:42" collapsed="1" x14ac:dyDescent="0.3">
      <c r="A237" s="7" t="s">
        <v>189</v>
      </c>
      <c r="E237" s="7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7"/>
      <c r="Y237" s="7"/>
      <c r="Z237" s="20" t="str">
        <f>BitsTo32Bit(Z238:Z245)</f>
        <v>$Z$239 should be less than or equal to 1</v>
      </c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</row>
    <row r="238" spans="1:42" hidden="1" outlineLevel="1" x14ac:dyDescent="0.3">
      <c r="B238" s="7">
        <v>31</v>
      </c>
      <c r="C238" s="7">
        <v>24</v>
      </c>
      <c r="D238" s="7" t="s">
        <v>1</v>
      </c>
      <c r="E238" s="7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7"/>
      <c r="Y238" s="7"/>
      <c r="Z238" s="49">
        <v>0</v>
      </c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</row>
    <row r="239" spans="1:42" hidden="1" outlineLevel="1" x14ac:dyDescent="0.3">
      <c r="B239" s="7">
        <v>23</v>
      </c>
      <c r="C239" s="7">
        <v>16</v>
      </c>
      <c r="D239" s="7" t="s">
        <v>190</v>
      </c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7"/>
      <c r="Y239" s="7"/>
      <c r="Z239" s="49">
        <v>26</v>
      </c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</row>
    <row r="240" spans="1:42" hidden="1" outlineLevel="1" x14ac:dyDescent="0.3">
      <c r="B240" s="7">
        <v>15</v>
      </c>
      <c r="C240" s="7">
        <v>9</v>
      </c>
      <c r="D240" s="7" t="s">
        <v>1</v>
      </c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7"/>
      <c r="Y240" s="7"/>
      <c r="Z240" s="49">
        <v>0</v>
      </c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</row>
    <row r="241" spans="1:42" hidden="1" outlineLevel="1" x14ac:dyDescent="0.3">
      <c r="B241" s="7">
        <v>8</v>
      </c>
      <c r="C241" s="7">
        <v>8</v>
      </c>
      <c r="D241" s="7" t="s">
        <v>191</v>
      </c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7"/>
      <c r="Y241" s="7"/>
      <c r="Z241" s="49">
        <v>1</v>
      </c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</row>
    <row r="242" spans="1:42" hidden="1" outlineLevel="1" x14ac:dyDescent="0.3">
      <c r="B242" s="7">
        <v>7</v>
      </c>
      <c r="C242" s="7">
        <v>7</v>
      </c>
      <c r="D242" s="7" t="s">
        <v>192</v>
      </c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7"/>
      <c r="Y242" s="7"/>
      <c r="Z242" s="49">
        <v>0</v>
      </c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</row>
    <row r="243" spans="1:42" hidden="1" outlineLevel="1" x14ac:dyDescent="0.3">
      <c r="B243" s="7">
        <v>6</v>
      </c>
      <c r="C243" s="7">
        <v>4</v>
      </c>
      <c r="D243" s="7" t="s">
        <v>193</v>
      </c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7"/>
      <c r="Y243" s="7"/>
      <c r="Z243" s="49">
        <v>0</v>
      </c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</row>
    <row r="244" spans="1:42" hidden="1" outlineLevel="1" x14ac:dyDescent="0.3">
      <c r="B244" s="7">
        <v>3</v>
      </c>
      <c r="C244" s="7">
        <v>3</v>
      </c>
      <c r="D244" s="7" t="s">
        <v>194</v>
      </c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7"/>
      <c r="Y244" s="7"/>
      <c r="Z244" s="49">
        <v>0</v>
      </c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</row>
    <row r="245" spans="1:42" hidden="1" outlineLevel="1" x14ac:dyDescent="0.3">
      <c r="B245" s="7">
        <v>2</v>
      </c>
      <c r="C245" s="7">
        <v>0</v>
      </c>
      <c r="D245" s="7" t="s">
        <v>195</v>
      </c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7"/>
      <c r="Y245" s="7"/>
      <c r="Z245" s="49">
        <v>4</v>
      </c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</row>
    <row r="246" spans="1:42" collapsed="1" x14ac:dyDescent="0.3">
      <c r="A246" s="7" t="s">
        <v>334</v>
      </c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7"/>
      <c r="Y246" s="7"/>
      <c r="Z246" s="20" t="str">
        <f>BitsTo32Bit(Z247:Z254)</f>
        <v>$Z$248 should be less than or equal to 1</v>
      </c>
      <c r="AA246" s="7"/>
      <c r="AB246" s="20" t="str">
        <f>BitsTo32Bit(AB247:AB254)</f>
        <v>$AB$254 should be less than or equal to 1</v>
      </c>
      <c r="AC246" s="7"/>
      <c r="AD246" s="20" t="str">
        <f>BitsTo32Bit(AD247:AD254)</f>
        <v>$AD$254 should be less than or equal to 1</v>
      </c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</row>
    <row r="247" spans="1:42" hidden="1" outlineLevel="1" x14ac:dyDescent="0.3">
      <c r="B247" s="7">
        <v>31</v>
      </c>
      <c r="C247" s="7">
        <v>24</v>
      </c>
      <c r="D247" s="7" t="s">
        <v>1</v>
      </c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7"/>
      <c r="Y247" s="7"/>
      <c r="Z247" s="49">
        <v>0</v>
      </c>
      <c r="AA247" s="7"/>
      <c r="AB247" s="49">
        <v>0</v>
      </c>
      <c r="AC247" s="7"/>
      <c r="AD247" s="49">
        <v>0</v>
      </c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</row>
    <row r="248" spans="1:42" hidden="1" outlineLevel="1" x14ac:dyDescent="0.3">
      <c r="B248" s="7">
        <v>23</v>
      </c>
      <c r="C248" s="7">
        <v>16</v>
      </c>
      <c r="D248" s="7" t="s">
        <v>337</v>
      </c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7"/>
      <c r="Y248" s="7"/>
      <c r="Z248" s="49">
        <v>23</v>
      </c>
      <c r="AA248" s="7"/>
      <c r="AB248" s="49">
        <v>0</v>
      </c>
      <c r="AC248" s="7"/>
      <c r="AD248" s="49">
        <v>0</v>
      </c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</row>
    <row r="249" spans="1:42" hidden="1" outlineLevel="1" x14ac:dyDescent="0.3">
      <c r="B249" s="7">
        <v>15</v>
      </c>
      <c r="C249" s="7">
        <v>9</v>
      </c>
      <c r="D249" s="7" t="s">
        <v>1</v>
      </c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7"/>
      <c r="Y249" s="7"/>
      <c r="Z249" s="49">
        <v>0</v>
      </c>
      <c r="AA249" s="7"/>
      <c r="AB249" s="49">
        <v>0</v>
      </c>
      <c r="AC249" s="7"/>
      <c r="AD249" s="49">
        <v>0</v>
      </c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</row>
    <row r="250" spans="1:42" hidden="1" outlineLevel="1" x14ac:dyDescent="0.3">
      <c r="B250" s="7">
        <v>8</v>
      </c>
      <c r="C250" s="7">
        <v>8</v>
      </c>
      <c r="D250" s="7" t="s">
        <v>338</v>
      </c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7"/>
      <c r="Y250" s="7"/>
      <c r="Z250" s="49">
        <v>1</v>
      </c>
      <c r="AA250" s="7"/>
      <c r="AB250" s="49">
        <v>0</v>
      </c>
      <c r="AC250" s="7"/>
      <c r="AD250" s="49">
        <v>0</v>
      </c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</row>
    <row r="251" spans="1:42" hidden="1" outlineLevel="1" x14ac:dyDescent="0.3">
      <c r="B251" s="7">
        <v>7</v>
      </c>
      <c r="C251" s="7">
        <v>7</v>
      </c>
      <c r="D251" s="7" t="s">
        <v>339</v>
      </c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7"/>
      <c r="Y251" s="7"/>
      <c r="Z251" s="49">
        <v>0</v>
      </c>
      <c r="AA251" s="7"/>
      <c r="AB251" s="49">
        <v>0</v>
      </c>
      <c r="AC251" s="7"/>
      <c r="AD251" s="49">
        <v>0</v>
      </c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</row>
    <row r="252" spans="1:42" hidden="1" outlineLevel="1" x14ac:dyDescent="0.3">
      <c r="B252" s="7">
        <v>6</v>
      </c>
      <c r="C252" s="7">
        <v>4</v>
      </c>
      <c r="D252" s="7" t="s">
        <v>340</v>
      </c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7"/>
      <c r="Y252" s="7"/>
      <c r="Z252" s="49">
        <v>0</v>
      </c>
      <c r="AA252" s="7"/>
      <c r="AB252" s="49">
        <v>1</v>
      </c>
      <c r="AC252" s="7"/>
      <c r="AD252" s="49">
        <v>1</v>
      </c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</row>
    <row r="253" spans="1:42" hidden="1" outlineLevel="1" x14ac:dyDescent="0.3">
      <c r="B253" s="7">
        <v>3</v>
      </c>
      <c r="C253" s="7">
        <v>3</v>
      </c>
      <c r="D253" s="7" t="s">
        <v>341</v>
      </c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7"/>
      <c r="Y253" s="7"/>
      <c r="Z253" s="49">
        <v>0</v>
      </c>
      <c r="AA253" s="7"/>
      <c r="AB253" s="49">
        <v>0</v>
      </c>
      <c r="AC253" s="7"/>
      <c r="AD253" s="49">
        <v>0</v>
      </c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</row>
    <row r="254" spans="1:42" hidden="1" outlineLevel="1" x14ac:dyDescent="0.3">
      <c r="B254" s="7">
        <v>2</v>
      </c>
      <c r="C254" s="7">
        <v>0</v>
      </c>
      <c r="D254" s="7" t="s">
        <v>342</v>
      </c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7"/>
      <c r="Y254" s="7"/>
      <c r="Z254" s="49">
        <v>4</v>
      </c>
      <c r="AA254" s="7"/>
      <c r="AB254" s="49">
        <v>5</v>
      </c>
      <c r="AC254" s="7"/>
      <c r="AD254" s="49">
        <v>6</v>
      </c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</row>
    <row r="255" spans="1:42" x14ac:dyDescent="0.3"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</row>
    <row r="256" spans="1:42" x14ac:dyDescent="0.3"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</row>
    <row r="257" spans="6:42" x14ac:dyDescent="0.3"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</row>
    <row r="258" spans="6:42" x14ac:dyDescent="0.3"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</row>
    <row r="259" spans="6:42" x14ac:dyDescent="0.3"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</row>
    <row r="260" spans="6:42" x14ac:dyDescent="0.3"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</row>
    <row r="261" spans="6:42" x14ac:dyDescent="0.3"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</row>
    <row r="262" spans="6:42" x14ac:dyDescent="0.3"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</row>
    <row r="263" spans="6:42" x14ac:dyDescent="0.3"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</row>
    <row r="264" spans="6:42" x14ac:dyDescent="0.3"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</row>
    <row r="265" spans="6:42" x14ac:dyDescent="0.3"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</row>
    <row r="266" spans="6:42" x14ac:dyDescent="0.3"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</row>
    <row r="267" spans="6:42" x14ac:dyDescent="0.3"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</row>
    <row r="268" spans="6:42" x14ac:dyDescent="0.3"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</row>
    <row r="269" spans="6:42" x14ac:dyDescent="0.3"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</row>
    <row r="270" spans="6:42" x14ac:dyDescent="0.3"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</row>
    <row r="271" spans="6:42" x14ac:dyDescent="0.3"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</row>
    <row r="272" spans="6:42" x14ac:dyDescent="0.3"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</row>
    <row r="273" spans="6:42" x14ac:dyDescent="0.3"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</row>
    <row r="274" spans="6:42" x14ac:dyDescent="0.3"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</row>
    <row r="275" spans="6:42" x14ac:dyDescent="0.3"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</row>
    <row r="276" spans="6:42" x14ac:dyDescent="0.3"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</row>
    <row r="277" spans="6:42" x14ac:dyDescent="0.3"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</row>
    <row r="278" spans="6:42" x14ac:dyDescent="0.3"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</row>
    <row r="279" spans="6:42" x14ac:dyDescent="0.3"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</row>
    <row r="280" spans="6:42" x14ac:dyDescent="0.3"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</row>
  </sheetData>
  <sheetProtection sheet="1" objects="1" scenarios="1"/>
  <dataConsolidate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BF326"/>
  <sheetViews>
    <sheetView zoomScaleNormal="100" workbookViewId="0">
      <pane xSplit="4" ySplit="1" topLeftCell="BC2" activePane="bottomRight" state="frozen"/>
      <selection pane="topRight" activeCell="E1" sqref="E1"/>
      <selection pane="bottomLeft" activeCell="A4" sqref="A4"/>
      <selection pane="bottomRight" activeCell="BJ124" sqref="BJ124"/>
    </sheetView>
  </sheetViews>
  <sheetFormatPr defaultColWidth="8.88671875" defaultRowHeight="14.4" outlineLevelRow="1" outlineLevelCol="1" x14ac:dyDescent="0.3"/>
  <cols>
    <col min="1" max="1" width="35.6640625" style="7" bestFit="1" customWidth="1"/>
    <col min="2" max="2" width="3.88671875" style="7" bestFit="1" customWidth="1"/>
    <col min="3" max="3" width="3.6640625" style="7" customWidth="1"/>
    <col min="4" max="4" width="37.33203125" style="7" bestFit="1" customWidth="1"/>
    <col min="5" max="5" width="16.33203125" style="10" customWidth="1"/>
    <col min="6" max="7" width="14.33203125" style="11" customWidth="1"/>
    <col min="8" max="8" width="12.109375" style="11" customWidth="1"/>
    <col min="9" max="9" width="11.6640625" style="11" customWidth="1"/>
    <col min="10" max="10" width="11.5546875" style="11" customWidth="1" outlineLevel="1"/>
    <col min="11" max="11" width="12.6640625" style="11" customWidth="1" outlineLevel="1"/>
    <col min="12" max="12" width="11.5546875" style="11" customWidth="1" outlineLevel="1"/>
    <col min="13" max="13" width="10.6640625" style="11" customWidth="1" outlineLevel="1"/>
    <col min="14" max="14" width="11.88671875" style="11" customWidth="1" outlineLevel="1"/>
    <col min="15" max="16" width="10.6640625" style="11" customWidth="1" outlineLevel="1"/>
    <col min="17" max="17" width="11" style="11" customWidth="1" outlineLevel="1"/>
    <col min="18" max="18" width="10.5546875" style="10" customWidth="1"/>
    <col min="19" max="19" width="8.88671875" style="10"/>
    <col min="20" max="27" width="10.6640625" style="10" customWidth="1" outlineLevel="1"/>
    <col min="28" max="29" width="10.6640625" style="10" bestFit="1" customWidth="1"/>
    <col min="30" max="30" width="10.44140625" style="10" customWidth="1" outlineLevel="1"/>
    <col min="31" max="31" width="13" style="10" customWidth="1" outlineLevel="1"/>
    <col min="32" max="32" width="10.44140625" style="10" customWidth="1" outlineLevel="1"/>
    <col min="33" max="33" width="13.33203125" style="10" customWidth="1" outlineLevel="1"/>
    <col min="34" max="35" width="10.5546875" style="10" bestFit="1" customWidth="1"/>
    <col min="36" max="36" width="17.6640625" style="10" customWidth="1" outlineLevel="1"/>
    <col min="37" max="37" width="10.5546875" style="10" customWidth="1" outlineLevel="1"/>
    <col min="38" max="38" width="16.6640625" style="10" customWidth="1" outlineLevel="1"/>
    <col min="39" max="39" width="11.5546875" style="10" customWidth="1" outlineLevel="1"/>
    <col min="40" max="40" width="8.88671875" style="10"/>
    <col min="41" max="41" width="8.88671875" style="10" collapsed="1"/>
    <col min="42" max="42" width="20.6640625" style="10" hidden="1" customWidth="1" outlineLevel="1"/>
    <col min="43" max="47" width="21.88671875" style="10" hidden="1" customWidth="1" outlineLevel="1"/>
    <col min="48" max="48" width="10.44140625" style="10" bestFit="1" customWidth="1"/>
    <col min="49" max="49" width="10" style="10" bestFit="1" customWidth="1"/>
    <col min="50" max="50" width="12.6640625" style="10" customWidth="1" outlineLevel="1"/>
    <col min="51" max="51" width="8.88671875" style="10" customWidth="1" outlineLevel="1"/>
    <col min="52" max="55" width="12.88671875" style="10" customWidth="1" outlineLevel="1"/>
    <col min="56" max="56" width="14.6640625" customWidth="1"/>
    <col min="57" max="16384" width="8.88671875" style="10"/>
  </cols>
  <sheetData>
    <row r="1" spans="1:57" ht="30" customHeight="1" x14ac:dyDescent="0.3">
      <c r="A1" s="13" t="s">
        <v>227</v>
      </c>
      <c r="B1" s="13" t="s">
        <v>228</v>
      </c>
      <c r="C1" s="13" t="s">
        <v>229</v>
      </c>
      <c r="D1" s="13" t="s">
        <v>230</v>
      </c>
      <c r="E1" s="33" t="s">
        <v>231</v>
      </c>
      <c r="F1" s="34" t="s">
        <v>294</v>
      </c>
      <c r="G1" s="34" t="s">
        <v>295</v>
      </c>
      <c r="H1" s="34" t="s">
        <v>254</v>
      </c>
      <c r="I1" s="34" t="s">
        <v>255</v>
      </c>
      <c r="J1" s="34" t="s">
        <v>247</v>
      </c>
      <c r="K1" s="34" t="s">
        <v>256</v>
      </c>
      <c r="L1" s="34" t="s">
        <v>248</v>
      </c>
      <c r="M1" s="34" t="s">
        <v>249</v>
      </c>
      <c r="N1" s="34" t="s">
        <v>250</v>
      </c>
      <c r="O1" s="34" t="s">
        <v>251</v>
      </c>
      <c r="P1" s="34" t="s">
        <v>252</v>
      </c>
      <c r="Q1" s="34" t="s">
        <v>253</v>
      </c>
      <c r="R1" s="33" t="s">
        <v>232</v>
      </c>
      <c r="S1" s="33" t="s">
        <v>233</v>
      </c>
      <c r="T1" s="33" t="s">
        <v>234</v>
      </c>
      <c r="U1" s="33" t="s">
        <v>235</v>
      </c>
      <c r="V1" s="33" t="s">
        <v>236</v>
      </c>
      <c r="W1" s="33" t="s">
        <v>237</v>
      </c>
      <c r="X1" s="33" t="s">
        <v>238</v>
      </c>
      <c r="Y1" s="33" t="s">
        <v>239</v>
      </c>
      <c r="Z1" s="33" t="s">
        <v>240</v>
      </c>
      <c r="AA1" s="33" t="s">
        <v>241</v>
      </c>
      <c r="AB1" s="33" t="s">
        <v>242</v>
      </c>
      <c r="AC1" s="33" t="s">
        <v>243</v>
      </c>
      <c r="AD1" s="33" t="s">
        <v>244</v>
      </c>
      <c r="AE1" s="33" t="s">
        <v>296</v>
      </c>
      <c r="AF1" s="33" t="s">
        <v>245</v>
      </c>
      <c r="AG1" s="33" t="s">
        <v>297</v>
      </c>
      <c r="AH1" s="33" t="s">
        <v>364</v>
      </c>
      <c r="AI1" s="33" t="s">
        <v>246</v>
      </c>
      <c r="AJ1" s="33" t="s">
        <v>347</v>
      </c>
      <c r="AK1" s="33" t="s">
        <v>348</v>
      </c>
      <c r="AL1" s="10" t="s">
        <v>349</v>
      </c>
      <c r="AM1" s="10" t="s">
        <v>350</v>
      </c>
      <c r="AN1" s="33" t="s">
        <v>298</v>
      </c>
      <c r="AO1" s="33" t="s">
        <v>299</v>
      </c>
      <c r="AP1" s="33" t="s">
        <v>353</v>
      </c>
      <c r="AQ1" s="33" t="s">
        <v>354</v>
      </c>
      <c r="AR1" s="33" t="s">
        <v>355</v>
      </c>
      <c r="AS1" s="33" t="s">
        <v>356</v>
      </c>
      <c r="AT1" s="33" t="s">
        <v>357</v>
      </c>
      <c r="AU1" s="33" t="s">
        <v>358</v>
      </c>
      <c r="AV1" s="33" t="s">
        <v>359</v>
      </c>
      <c r="AW1" s="33" t="s">
        <v>293</v>
      </c>
      <c r="AX1" s="33" t="s">
        <v>360</v>
      </c>
      <c r="AY1" s="33" t="s">
        <v>300</v>
      </c>
      <c r="AZ1" s="33" t="s">
        <v>361</v>
      </c>
      <c r="BA1" s="33" t="s">
        <v>301</v>
      </c>
      <c r="BB1" s="33" t="s">
        <v>362</v>
      </c>
      <c r="BC1" s="33" t="s">
        <v>302</v>
      </c>
      <c r="BD1" t="s">
        <v>379</v>
      </c>
      <c r="BE1" s="10" t="s">
        <v>380</v>
      </c>
    </row>
    <row r="2" spans="1:57" collapsed="1" x14ac:dyDescent="0.3">
      <c r="A2" s="1" t="s">
        <v>0</v>
      </c>
      <c r="B2" s="2"/>
      <c r="C2" s="2"/>
      <c r="D2" s="1"/>
      <c r="E2" s="13"/>
      <c r="F2" s="14"/>
      <c r="G2" s="16"/>
      <c r="H2" s="14"/>
      <c r="I2" s="14"/>
      <c r="J2" s="35"/>
      <c r="K2" s="17" t="str">
        <f>BitsTo32Bit(K3:K19)</f>
        <v>02002E</v>
      </c>
      <c r="L2" s="14"/>
      <c r="M2" s="17" t="str">
        <f>BitsTo32Bit(M3:M19)</f>
        <v>02002A</v>
      </c>
      <c r="N2" s="14"/>
      <c r="O2" s="17" t="str">
        <f>BitsTo32Bit(O3:O19)</f>
        <v>02002A</v>
      </c>
      <c r="P2" s="14"/>
      <c r="Q2" s="17" t="str">
        <f>BitsTo32Bit(Q3:Q19)</f>
        <v>02002A</v>
      </c>
      <c r="R2" s="13"/>
      <c r="S2" s="33"/>
      <c r="T2" s="33"/>
      <c r="U2" s="17" t="str">
        <f>BitsTo32Bit(U3:U19)</f>
        <v>020026</v>
      </c>
      <c r="V2" s="33"/>
      <c r="W2" s="17" t="str">
        <f>BitsTo32Bit(W3:W19)</f>
        <v>02002A</v>
      </c>
      <c r="X2" s="33"/>
      <c r="Y2" s="17" t="str">
        <f>BitsTo32Bit(Y3:Y19)</f>
        <v>02002A</v>
      </c>
      <c r="Z2" s="33"/>
      <c r="AA2" s="17" t="str">
        <f>BitsTo32Bit(AA3:AA19)</f>
        <v>02002A</v>
      </c>
      <c r="AB2" s="33"/>
      <c r="AC2" s="16"/>
      <c r="AD2" s="33"/>
      <c r="AE2" s="17" t="str">
        <f>BitsTo32Bit(AE3:AE19)</f>
        <v>020021</v>
      </c>
      <c r="AF2" s="13"/>
      <c r="AG2" s="17" t="str">
        <f>BitsTo32Bit(AG3:AG19)</f>
        <v>020025</v>
      </c>
      <c r="AH2" s="33"/>
      <c r="AI2" s="16"/>
      <c r="AJ2" s="33"/>
      <c r="AK2" s="17" t="str">
        <f>BitsTo32Bit(AK3:AK19)</f>
        <v>02002A</v>
      </c>
      <c r="AM2" s="17" t="str">
        <f>BitsTo32Bit(AM3:AM19)</f>
        <v>02002A</v>
      </c>
      <c r="AN2" s="33"/>
      <c r="AO2" s="16"/>
      <c r="AP2" s="16"/>
      <c r="AQ2" s="16"/>
      <c r="AR2" s="17" t="str">
        <f>BitsTo32Bit(AR3:AR19)</f>
        <v>02000F</v>
      </c>
      <c r="AS2" s="17" t="str">
        <f>BitsTo32Bit(AS3:AS19)</f>
        <v>020005</v>
      </c>
      <c r="AT2" s="17" t="str">
        <f>BitsTo32Bit(AT3:AT19)</f>
        <v>02000F</v>
      </c>
      <c r="AU2" s="17" t="str">
        <f>BitsTo32Bit(AU3:AU19)</f>
        <v>020001</v>
      </c>
      <c r="AV2" s="16"/>
      <c r="AW2" s="16"/>
      <c r="AX2" s="16"/>
      <c r="AY2" s="17" t="str">
        <f>BitsTo32Bit(AY3:AY19)</f>
        <v>0390A3</v>
      </c>
      <c r="AZ2" s="16"/>
      <c r="BA2" s="17" t="str">
        <f>BitsTo32Bit(BA3:BA19)</f>
        <v>0390A3</v>
      </c>
      <c r="BB2" s="16"/>
      <c r="BC2" s="17" t="str">
        <f>BitsTo32Bit(BC3:BC19)</f>
        <v>0390A3</v>
      </c>
      <c r="BE2" s="17" t="str">
        <f>BitsTo32Bit(BE3:BE19)</f>
        <v>03DF20</v>
      </c>
    </row>
    <row r="3" spans="1:57" hidden="1" outlineLevel="1" x14ac:dyDescent="0.3">
      <c r="A3" s="1"/>
      <c r="B3" s="2">
        <v>31</v>
      </c>
      <c r="C3" s="2">
        <v>19</v>
      </c>
      <c r="D3" s="1" t="s">
        <v>1</v>
      </c>
      <c r="E3" s="13"/>
      <c r="F3" s="14"/>
      <c r="G3" s="16"/>
      <c r="H3" s="14"/>
      <c r="I3" s="14"/>
      <c r="J3" s="14"/>
      <c r="K3" s="15">
        <v>0</v>
      </c>
      <c r="L3" s="14"/>
      <c r="M3" s="15">
        <v>0</v>
      </c>
      <c r="N3" s="14"/>
      <c r="O3" s="15">
        <v>0</v>
      </c>
      <c r="P3" s="14"/>
      <c r="Q3" s="15">
        <v>0</v>
      </c>
      <c r="R3" s="13"/>
      <c r="S3" s="33"/>
      <c r="T3" s="33"/>
      <c r="U3" s="15">
        <v>0</v>
      </c>
      <c r="V3" s="33"/>
      <c r="W3" s="15">
        <v>0</v>
      </c>
      <c r="X3" s="33"/>
      <c r="Y3" s="15">
        <v>0</v>
      </c>
      <c r="Z3" s="33"/>
      <c r="AA3" s="15">
        <v>0</v>
      </c>
      <c r="AB3" s="33"/>
      <c r="AC3" s="16"/>
      <c r="AD3" s="33"/>
      <c r="AE3" s="15">
        <v>0</v>
      </c>
      <c r="AF3" s="13"/>
      <c r="AG3" s="15">
        <v>0</v>
      </c>
      <c r="AH3" s="33"/>
      <c r="AI3" s="16"/>
      <c r="AJ3" s="33"/>
      <c r="AK3" s="15">
        <v>0</v>
      </c>
      <c r="AM3" s="15">
        <v>0</v>
      </c>
      <c r="AN3" s="33"/>
      <c r="AO3" s="16"/>
      <c r="AP3" s="16"/>
      <c r="AQ3" s="16"/>
      <c r="AR3" s="15">
        <v>0</v>
      </c>
      <c r="AS3" s="15">
        <v>0</v>
      </c>
      <c r="AT3" s="15">
        <v>0</v>
      </c>
      <c r="AU3" s="15">
        <v>0</v>
      </c>
      <c r="AV3" s="16"/>
      <c r="AW3" s="16"/>
      <c r="AX3" s="16"/>
      <c r="AY3" s="15">
        <v>0</v>
      </c>
      <c r="AZ3" s="16"/>
      <c r="BA3" s="15">
        <v>0</v>
      </c>
      <c r="BB3" s="16"/>
      <c r="BC3" s="15">
        <v>0</v>
      </c>
      <c r="BE3" s="15">
        <v>0</v>
      </c>
    </row>
    <row r="4" spans="1:57" hidden="1" outlineLevel="1" x14ac:dyDescent="0.3">
      <c r="A4" s="1"/>
      <c r="B4" s="2">
        <v>18</v>
      </c>
      <c r="C4" s="2">
        <v>18</v>
      </c>
      <c r="D4" s="1" t="s">
        <v>2</v>
      </c>
      <c r="E4" s="13"/>
      <c r="F4" s="14"/>
      <c r="G4" s="36"/>
      <c r="H4" s="14"/>
      <c r="I4" s="14"/>
      <c r="J4" s="14"/>
      <c r="K4" s="37">
        <v>0</v>
      </c>
      <c r="L4" s="14"/>
      <c r="M4" s="37">
        <v>0</v>
      </c>
      <c r="N4" s="14"/>
      <c r="O4" s="37">
        <v>0</v>
      </c>
      <c r="P4" s="14"/>
      <c r="Q4" s="37">
        <v>0</v>
      </c>
      <c r="R4" s="13"/>
      <c r="S4" s="13"/>
      <c r="T4" s="13"/>
      <c r="U4" s="37">
        <v>0</v>
      </c>
      <c r="V4" s="13"/>
      <c r="W4" s="37">
        <v>0</v>
      </c>
      <c r="X4" s="13"/>
      <c r="Y4" s="37">
        <v>0</v>
      </c>
      <c r="Z4" s="13"/>
      <c r="AA4" s="37">
        <v>0</v>
      </c>
      <c r="AB4" s="13"/>
      <c r="AC4" s="36"/>
      <c r="AD4" s="13"/>
      <c r="AE4" s="37">
        <v>0</v>
      </c>
      <c r="AF4" s="13"/>
      <c r="AG4" s="37">
        <v>0</v>
      </c>
      <c r="AH4" s="13"/>
      <c r="AI4" s="36"/>
      <c r="AJ4" s="13"/>
      <c r="AK4" s="37">
        <v>0</v>
      </c>
      <c r="AL4" s="7"/>
      <c r="AM4" s="37">
        <v>0</v>
      </c>
      <c r="AN4" s="13"/>
      <c r="AO4" s="36"/>
      <c r="AP4" s="36"/>
      <c r="AQ4" s="36"/>
      <c r="AR4" s="37">
        <v>0</v>
      </c>
      <c r="AS4" s="37">
        <v>0</v>
      </c>
      <c r="AT4" s="37">
        <v>0</v>
      </c>
      <c r="AU4" s="37">
        <v>0</v>
      </c>
      <c r="AV4" s="36"/>
      <c r="AW4" s="36"/>
      <c r="AX4" s="36"/>
      <c r="AY4" s="37">
        <v>0</v>
      </c>
      <c r="AZ4" s="36"/>
      <c r="BA4" s="37">
        <v>0</v>
      </c>
      <c r="BB4" s="36"/>
      <c r="BC4" s="37">
        <v>0</v>
      </c>
      <c r="BE4" s="37">
        <v>0</v>
      </c>
    </row>
    <row r="5" spans="1:57" hidden="1" outlineLevel="1" x14ac:dyDescent="0.3">
      <c r="A5" s="1"/>
      <c r="B5" s="2">
        <v>17</v>
      </c>
      <c r="C5" s="2">
        <v>17</v>
      </c>
      <c r="D5" s="1" t="s">
        <v>3</v>
      </c>
      <c r="E5" s="13"/>
      <c r="F5" s="14"/>
      <c r="G5" s="36"/>
      <c r="H5" s="14"/>
      <c r="I5" s="14"/>
      <c r="J5" s="14"/>
      <c r="K5" s="37">
        <v>1</v>
      </c>
      <c r="L5" s="14"/>
      <c r="M5" s="37">
        <v>1</v>
      </c>
      <c r="N5" s="14"/>
      <c r="O5" s="37">
        <v>1</v>
      </c>
      <c r="P5" s="14"/>
      <c r="Q5" s="37">
        <v>1</v>
      </c>
      <c r="R5" s="13"/>
      <c r="S5" s="13"/>
      <c r="T5" s="13"/>
      <c r="U5" s="37">
        <v>1</v>
      </c>
      <c r="V5" s="13"/>
      <c r="W5" s="37">
        <v>1</v>
      </c>
      <c r="X5" s="13"/>
      <c r="Y5" s="37">
        <v>1</v>
      </c>
      <c r="Z5" s="13"/>
      <c r="AA5" s="37">
        <v>1</v>
      </c>
      <c r="AB5" s="13"/>
      <c r="AC5" s="36"/>
      <c r="AD5" s="13"/>
      <c r="AE5" s="37">
        <v>1</v>
      </c>
      <c r="AF5" s="13"/>
      <c r="AG5" s="37">
        <v>1</v>
      </c>
      <c r="AH5" s="13"/>
      <c r="AI5" s="36"/>
      <c r="AJ5" s="13"/>
      <c r="AK5" s="37">
        <v>1</v>
      </c>
      <c r="AL5" s="7"/>
      <c r="AM5" s="37">
        <v>1</v>
      </c>
      <c r="AN5" s="13"/>
      <c r="AO5" s="36"/>
      <c r="AP5" s="36"/>
      <c r="AQ5" s="36"/>
      <c r="AR5" s="37">
        <v>1</v>
      </c>
      <c r="AS5" s="37">
        <v>1</v>
      </c>
      <c r="AT5" s="37">
        <v>1</v>
      </c>
      <c r="AU5" s="37">
        <v>1</v>
      </c>
      <c r="AV5" s="36"/>
      <c r="AW5" s="36"/>
      <c r="AX5" s="36"/>
      <c r="AY5" s="37">
        <v>1</v>
      </c>
      <c r="AZ5" s="36"/>
      <c r="BA5" s="37">
        <v>1</v>
      </c>
      <c r="BB5" s="36"/>
      <c r="BC5" s="37">
        <v>1</v>
      </c>
      <c r="BE5" s="37">
        <v>1</v>
      </c>
    </row>
    <row r="6" spans="1:57" hidden="1" outlineLevel="1" x14ac:dyDescent="0.3">
      <c r="A6" s="1"/>
      <c r="B6" s="2">
        <v>16</v>
      </c>
      <c r="C6" s="2">
        <v>16</v>
      </c>
      <c r="D6" s="1" t="s">
        <v>4</v>
      </c>
      <c r="E6" s="13"/>
      <c r="F6" s="14"/>
      <c r="G6" s="36"/>
      <c r="H6" s="14"/>
      <c r="I6" s="14"/>
      <c r="J6" s="14"/>
      <c r="K6" s="37">
        <v>0</v>
      </c>
      <c r="L6" s="14"/>
      <c r="M6" s="37">
        <v>0</v>
      </c>
      <c r="N6" s="14"/>
      <c r="O6" s="37">
        <v>0</v>
      </c>
      <c r="P6" s="14"/>
      <c r="Q6" s="37">
        <v>0</v>
      </c>
      <c r="R6" s="13"/>
      <c r="S6" s="13"/>
      <c r="T6" s="13"/>
      <c r="U6" s="37">
        <v>0</v>
      </c>
      <c r="V6" s="13"/>
      <c r="W6" s="37">
        <v>0</v>
      </c>
      <c r="X6" s="13"/>
      <c r="Y6" s="37">
        <v>0</v>
      </c>
      <c r="Z6" s="13"/>
      <c r="AA6" s="37">
        <v>0</v>
      </c>
      <c r="AB6" s="13"/>
      <c r="AC6" s="36"/>
      <c r="AD6" s="13"/>
      <c r="AE6" s="37">
        <v>0</v>
      </c>
      <c r="AF6" s="13"/>
      <c r="AG6" s="37">
        <v>0</v>
      </c>
      <c r="AH6" s="13"/>
      <c r="AI6" s="36"/>
      <c r="AJ6" s="13"/>
      <c r="AK6" s="37">
        <v>0</v>
      </c>
      <c r="AL6" s="7"/>
      <c r="AM6" s="37">
        <v>0</v>
      </c>
      <c r="AN6" s="13"/>
      <c r="AO6" s="36"/>
      <c r="AP6" s="36"/>
      <c r="AQ6" s="36"/>
      <c r="AR6" s="37">
        <v>0</v>
      </c>
      <c r="AS6" s="37">
        <v>0</v>
      </c>
      <c r="AT6" s="37">
        <v>0</v>
      </c>
      <c r="AU6" s="37">
        <v>0</v>
      </c>
      <c r="AV6" s="36"/>
      <c r="AW6" s="36"/>
      <c r="AX6" s="36"/>
      <c r="AY6" s="37">
        <v>1</v>
      </c>
      <c r="AZ6" s="36"/>
      <c r="BA6" s="37">
        <v>1</v>
      </c>
      <c r="BB6" s="36"/>
      <c r="BC6" s="37">
        <v>1</v>
      </c>
      <c r="BE6" s="37">
        <v>1</v>
      </c>
    </row>
    <row r="7" spans="1:57" hidden="1" outlineLevel="1" x14ac:dyDescent="0.3">
      <c r="A7" s="1"/>
      <c r="B7" s="2">
        <v>15</v>
      </c>
      <c r="C7" s="2">
        <v>15</v>
      </c>
      <c r="D7" s="1" t="s">
        <v>5</v>
      </c>
      <c r="E7" s="13"/>
      <c r="F7" s="14"/>
      <c r="G7" s="36"/>
      <c r="H7" s="14"/>
      <c r="I7" s="14"/>
      <c r="J7" s="14"/>
      <c r="K7" s="37">
        <v>0</v>
      </c>
      <c r="L7" s="14"/>
      <c r="M7" s="37">
        <v>0</v>
      </c>
      <c r="N7" s="14"/>
      <c r="O7" s="37">
        <v>0</v>
      </c>
      <c r="P7" s="14"/>
      <c r="Q7" s="37">
        <v>0</v>
      </c>
      <c r="R7" s="13"/>
      <c r="S7" s="13"/>
      <c r="T7" s="13"/>
      <c r="U7" s="37">
        <v>0</v>
      </c>
      <c r="V7" s="13"/>
      <c r="W7" s="37">
        <v>0</v>
      </c>
      <c r="X7" s="13"/>
      <c r="Y7" s="37">
        <v>0</v>
      </c>
      <c r="Z7" s="13"/>
      <c r="AA7" s="37">
        <v>0</v>
      </c>
      <c r="AB7" s="13"/>
      <c r="AC7" s="36"/>
      <c r="AD7" s="13"/>
      <c r="AE7" s="37">
        <v>0</v>
      </c>
      <c r="AF7" s="13"/>
      <c r="AG7" s="37">
        <v>0</v>
      </c>
      <c r="AH7" s="13"/>
      <c r="AI7" s="36"/>
      <c r="AJ7" s="13"/>
      <c r="AK7" s="37">
        <v>0</v>
      </c>
      <c r="AL7" s="7"/>
      <c r="AM7" s="37">
        <v>0</v>
      </c>
      <c r="AN7" s="13"/>
      <c r="AO7" s="36"/>
      <c r="AP7" s="36"/>
      <c r="AQ7" s="36"/>
      <c r="AR7" s="37">
        <v>0</v>
      </c>
      <c r="AS7" s="37">
        <v>0</v>
      </c>
      <c r="AT7" s="37">
        <v>0</v>
      </c>
      <c r="AU7" s="37">
        <v>0</v>
      </c>
      <c r="AV7" s="36"/>
      <c r="AW7" s="36"/>
      <c r="AX7" s="36"/>
      <c r="AY7" s="37">
        <v>1</v>
      </c>
      <c r="AZ7" s="36"/>
      <c r="BA7" s="37">
        <v>1</v>
      </c>
      <c r="BB7" s="36"/>
      <c r="BC7" s="37">
        <v>1</v>
      </c>
      <c r="BE7" s="37">
        <v>1</v>
      </c>
    </row>
    <row r="8" spans="1:57" hidden="1" outlineLevel="1" x14ac:dyDescent="0.3">
      <c r="A8" s="1"/>
      <c r="B8" s="2">
        <v>14</v>
      </c>
      <c r="C8" s="2">
        <v>14</v>
      </c>
      <c r="D8" s="1" t="s">
        <v>6</v>
      </c>
      <c r="E8" s="13"/>
      <c r="F8" s="14"/>
      <c r="G8" s="16"/>
      <c r="H8" s="14"/>
      <c r="I8" s="14"/>
      <c r="J8" s="14"/>
      <c r="K8" s="15">
        <v>0</v>
      </c>
      <c r="L8" s="14"/>
      <c r="M8" s="15">
        <v>0</v>
      </c>
      <c r="N8" s="14"/>
      <c r="O8" s="15">
        <v>0</v>
      </c>
      <c r="P8" s="14"/>
      <c r="Q8" s="15">
        <v>0</v>
      </c>
      <c r="R8" s="13"/>
      <c r="S8" s="13"/>
      <c r="T8" s="13"/>
      <c r="U8" s="15">
        <v>0</v>
      </c>
      <c r="V8" s="13"/>
      <c r="W8" s="15">
        <v>0</v>
      </c>
      <c r="X8" s="13"/>
      <c r="Y8" s="15">
        <v>0</v>
      </c>
      <c r="Z8" s="13"/>
      <c r="AA8" s="15">
        <v>0</v>
      </c>
      <c r="AB8" s="13"/>
      <c r="AC8" s="16"/>
      <c r="AD8" s="13"/>
      <c r="AE8" s="15">
        <v>0</v>
      </c>
      <c r="AF8" s="13"/>
      <c r="AG8" s="15">
        <v>0</v>
      </c>
      <c r="AH8" s="13"/>
      <c r="AI8" s="16"/>
      <c r="AJ8" s="13"/>
      <c r="AK8" s="15">
        <v>0</v>
      </c>
      <c r="AL8" s="7"/>
      <c r="AM8" s="15">
        <v>0</v>
      </c>
      <c r="AN8" s="13"/>
      <c r="AO8" s="16"/>
      <c r="AP8" s="16"/>
      <c r="AQ8" s="16"/>
      <c r="AR8" s="15">
        <v>0</v>
      </c>
      <c r="AS8" s="15">
        <v>0</v>
      </c>
      <c r="AT8" s="15">
        <v>0</v>
      </c>
      <c r="AU8" s="15">
        <v>0</v>
      </c>
      <c r="AV8" s="16"/>
      <c r="AW8" s="16"/>
      <c r="AX8" s="16"/>
      <c r="AY8" s="15">
        <v>0</v>
      </c>
      <c r="AZ8" s="16"/>
      <c r="BA8" s="15">
        <v>0</v>
      </c>
      <c r="BB8" s="16"/>
      <c r="BC8" s="15">
        <v>0</v>
      </c>
      <c r="BE8" s="15">
        <v>1</v>
      </c>
    </row>
    <row r="9" spans="1:57" hidden="1" outlineLevel="1" x14ac:dyDescent="0.3">
      <c r="A9" s="1"/>
      <c r="B9" s="2">
        <v>13</v>
      </c>
      <c r="C9" s="2">
        <v>13</v>
      </c>
      <c r="D9" s="1" t="s">
        <v>7</v>
      </c>
      <c r="E9" s="13"/>
      <c r="F9" s="14"/>
      <c r="G9" s="16"/>
      <c r="H9" s="14"/>
      <c r="I9" s="14"/>
      <c r="J9" s="14"/>
      <c r="K9" s="15">
        <v>0</v>
      </c>
      <c r="L9" s="14"/>
      <c r="M9" s="15">
        <v>0</v>
      </c>
      <c r="N9" s="14"/>
      <c r="O9" s="15">
        <v>0</v>
      </c>
      <c r="P9" s="14"/>
      <c r="Q9" s="15">
        <v>0</v>
      </c>
      <c r="R9" s="13"/>
      <c r="S9" s="13"/>
      <c r="T9" s="13"/>
      <c r="U9" s="15">
        <v>0</v>
      </c>
      <c r="V9" s="13"/>
      <c r="W9" s="15">
        <v>0</v>
      </c>
      <c r="X9" s="13"/>
      <c r="Y9" s="15">
        <v>0</v>
      </c>
      <c r="Z9" s="13"/>
      <c r="AA9" s="15">
        <v>0</v>
      </c>
      <c r="AB9" s="13"/>
      <c r="AC9" s="16"/>
      <c r="AD9" s="13"/>
      <c r="AE9" s="15">
        <v>0</v>
      </c>
      <c r="AF9" s="13"/>
      <c r="AG9" s="15">
        <v>0</v>
      </c>
      <c r="AH9" s="13"/>
      <c r="AI9" s="16"/>
      <c r="AJ9" s="13"/>
      <c r="AK9" s="15">
        <v>0</v>
      </c>
      <c r="AL9" s="7"/>
      <c r="AM9" s="15">
        <v>0</v>
      </c>
      <c r="AN9" s="13"/>
      <c r="AO9" s="16"/>
      <c r="AP9" s="16"/>
      <c r="AQ9" s="16"/>
      <c r="AR9" s="15">
        <v>0</v>
      </c>
      <c r="AS9" s="15">
        <v>0</v>
      </c>
      <c r="AT9" s="15">
        <v>0</v>
      </c>
      <c r="AU9" s="15">
        <v>0</v>
      </c>
      <c r="AV9" s="16"/>
      <c r="AW9" s="16"/>
      <c r="AX9" s="16"/>
      <c r="AY9" s="15">
        <v>0</v>
      </c>
      <c r="AZ9" s="16"/>
      <c r="BA9" s="15">
        <v>0</v>
      </c>
      <c r="BB9" s="16"/>
      <c r="BC9" s="15">
        <v>0</v>
      </c>
      <c r="BE9" s="15">
        <v>0</v>
      </c>
    </row>
    <row r="10" spans="1:57" hidden="1" outlineLevel="1" x14ac:dyDescent="0.3">
      <c r="A10" s="1"/>
      <c r="B10" s="2">
        <v>12</v>
      </c>
      <c r="C10" s="2">
        <v>12</v>
      </c>
      <c r="D10" s="1" t="s">
        <v>8</v>
      </c>
      <c r="E10" s="13"/>
      <c r="F10" s="14"/>
      <c r="G10" s="16"/>
      <c r="H10" s="14"/>
      <c r="I10" s="14"/>
      <c r="J10" s="14"/>
      <c r="K10" s="15">
        <v>0</v>
      </c>
      <c r="L10" s="14"/>
      <c r="M10" s="15">
        <v>0</v>
      </c>
      <c r="N10" s="14"/>
      <c r="O10" s="15">
        <v>0</v>
      </c>
      <c r="P10" s="14"/>
      <c r="Q10" s="15">
        <v>0</v>
      </c>
      <c r="R10" s="13"/>
      <c r="S10" s="13"/>
      <c r="T10" s="13"/>
      <c r="U10" s="15">
        <v>0</v>
      </c>
      <c r="V10" s="13"/>
      <c r="W10" s="15">
        <v>0</v>
      </c>
      <c r="X10" s="13"/>
      <c r="Y10" s="15">
        <v>0</v>
      </c>
      <c r="Z10" s="13"/>
      <c r="AA10" s="15">
        <v>0</v>
      </c>
      <c r="AB10" s="13"/>
      <c r="AC10" s="16"/>
      <c r="AD10" s="13"/>
      <c r="AE10" s="15">
        <v>0</v>
      </c>
      <c r="AF10" s="13"/>
      <c r="AG10" s="15">
        <v>0</v>
      </c>
      <c r="AH10" s="13"/>
      <c r="AI10" s="16"/>
      <c r="AJ10" s="13"/>
      <c r="AK10" s="15">
        <v>0</v>
      </c>
      <c r="AL10" s="7"/>
      <c r="AM10" s="15">
        <v>0</v>
      </c>
      <c r="AN10" s="13"/>
      <c r="AO10" s="16"/>
      <c r="AP10" s="16"/>
      <c r="AQ10" s="16"/>
      <c r="AR10" s="15">
        <v>0</v>
      </c>
      <c r="AS10" s="15">
        <v>0</v>
      </c>
      <c r="AT10" s="15">
        <v>0</v>
      </c>
      <c r="AU10" s="15">
        <v>0</v>
      </c>
      <c r="AV10" s="16"/>
      <c r="AW10" s="16"/>
      <c r="AX10" s="16"/>
      <c r="AY10" s="15">
        <v>1</v>
      </c>
      <c r="AZ10" s="16"/>
      <c r="BA10" s="15">
        <v>1</v>
      </c>
      <c r="BB10" s="16"/>
      <c r="BC10" s="15">
        <v>1</v>
      </c>
      <c r="BE10" s="15">
        <v>1</v>
      </c>
    </row>
    <row r="11" spans="1:57" hidden="1" outlineLevel="1" x14ac:dyDescent="0.3">
      <c r="A11" s="1"/>
      <c r="B11" s="2">
        <v>11</v>
      </c>
      <c r="C11" s="2">
        <v>11</v>
      </c>
      <c r="D11" s="1" t="s">
        <v>9</v>
      </c>
      <c r="E11" s="13"/>
      <c r="F11" s="14"/>
      <c r="G11" s="16"/>
      <c r="H11" s="14"/>
      <c r="I11" s="14"/>
      <c r="J11" s="14"/>
      <c r="K11" s="15">
        <v>0</v>
      </c>
      <c r="L11" s="14"/>
      <c r="M11" s="15">
        <v>0</v>
      </c>
      <c r="N11" s="14"/>
      <c r="O11" s="15">
        <v>0</v>
      </c>
      <c r="P11" s="14"/>
      <c r="Q11" s="15">
        <v>0</v>
      </c>
      <c r="R11" s="13"/>
      <c r="S11" s="13"/>
      <c r="T11" s="13"/>
      <c r="U11" s="15">
        <v>0</v>
      </c>
      <c r="V11" s="13"/>
      <c r="W11" s="15">
        <v>0</v>
      </c>
      <c r="X11" s="13"/>
      <c r="Y11" s="15">
        <v>0</v>
      </c>
      <c r="Z11" s="13"/>
      <c r="AA11" s="15">
        <v>0</v>
      </c>
      <c r="AB11" s="13"/>
      <c r="AC11" s="16"/>
      <c r="AD11" s="13"/>
      <c r="AE11" s="15">
        <v>0</v>
      </c>
      <c r="AF11" s="13"/>
      <c r="AG11" s="15">
        <v>0</v>
      </c>
      <c r="AH11" s="13"/>
      <c r="AI11" s="16"/>
      <c r="AJ11" s="13"/>
      <c r="AK11" s="15">
        <v>0</v>
      </c>
      <c r="AL11" s="7"/>
      <c r="AM11" s="15">
        <v>0</v>
      </c>
      <c r="AN11" s="13"/>
      <c r="AO11" s="16"/>
      <c r="AP11" s="16"/>
      <c r="AQ11" s="16"/>
      <c r="AR11" s="15">
        <v>0</v>
      </c>
      <c r="AS11" s="15">
        <v>0</v>
      </c>
      <c r="AT11" s="15">
        <v>0</v>
      </c>
      <c r="AU11" s="15">
        <v>0</v>
      </c>
      <c r="AV11" s="16"/>
      <c r="AW11" s="16"/>
      <c r="AX11" s="16"/>
      <c r="AY11" s="15">
        <v>0</v>
      </c>
      <c r="AZ11" s="16"/>
      <c r="BA11" s="15">
        <v>0</v>
      </c>
      <c r="BB11" s="16"/>
      <c r="BC11" s="15">
        <v>0</v>
      </c>
      <c r="BE11" s="15">
        <v>1</v>
      </c>
    </row>
    <row r="12" spans="1:57" hidden="1" outlineLevel="1" x14ac:dyDescent="0.3">
      <c r="A12" s="1"/>
      <c r="B12" s="2">
        <v>10</v>
      </c>
      <c r="C12" s="2">
        <v>10</v>
      </c>
      <c r="D12" s="1" t="s">
        <v>10</v>
      </c>
      <c r="E12" s="13"/>
      <c r="F12" s="14"/>
      <c r="G12" s="16"/>
      <c r="H12" s="14"/>
      <c r="I12" s="14"/>
      <c r="J12" s="14"/>
      <c r="K12" s="15">
        <v>0</v>
      </c>
      <c r="L12" s="14"/>
      <c r="M12" s="15">
        <v>0</v>
      </c>
      <c r="N12" s="14"/>
      <c r="O12" s="15">
        <v>0</v>
      </c>
      <c r="P12" s="14"/>
      <c r="Q12" s="15">
        <v>0</v>
      </c>
      <c r="R12" s="13"/>
      <c r="S12" s="13"/>
      <c r="T12" s="13"/>
      <c r="U12" s="15">
        <v>0</v>
      </c>
      <c r="V12" s="13"/>
      <c r="W12" s="15">
        <v>0</v>
      </c>
      <c r="X12" s="13"/>
      <c r="Y12" s="15">
        <v>0</v>
      </c>
      <c r="Z12" s="13"/>
      <c r="AA12" s="15">
        <v>0</v>
      </c>
      <c r="AB12" s="13"/>
      <c r="AC12" s="16"/>
      <c r="AD12" s="13"/>
      <c r="AE12" s="15">
        <v>0</v>
      </c>
      <c r="AF12" s="13"/>
      <c r="AG12" s="15">
        <v>0</v>
      </c>
      <c r="AH12" s="13"/>
      <c r="AI12" s="16"/>
      <c r="AJ12" s="13"/>
      <c r="AK12" s="15">
        <v>0</v>
      </c>
      <c r="AL12" s="7"/>
      <c r="AM12" s="15">
        <v>0</v>
      </c>
      <c r="AN12" s="13"/>
      <c r="AO12" s="16"/>
      <c r="AP12" s="16"/>
      <c r="AQ12" s="16"/>
      <c r="AR12" s="15">
        <v>0</v>
      </c>
      <c r="AS12" s="15">
        <v>0</v>
      </c>
      <c r="AT12" s="15">
        <v>0</v>
      </c>
      <c r="AU12" s="15">
        <v>0</v>
      </c>
      <c r="AV12" s="16"/>
      <c r="AW12" s="16"/>
      <c r="AX12" s="16"/>
      <c r="AY12" s="15">
        <v>0</v>
      </c>
      <c r="AZ12" s="16"/>
      <c r="BA12" s="15">
        <v>0</v>
      </c>
      <c r="BB12" s="16"/>
      <c r="BC12" s="15">
        <v>0</v>
      </c>
      <c r="BE12" s="15">
        <v>1</v>
      </c>
    </row>
    <row r="13" spans="1:57" hidden="1" outlineLevel="1" x14ac:dyDescent="0.3">
      <c r="A13" s="1"/>
      <c r="B13" s="2">
        <v>9</v>
      </c>
      <c r="C13" s="2">
        <v>8</v>
      </c>
      <c r="D13" s="1" t="s">
        <v>11</v>
      </c>
      <c r="E13" s="13"/>
      <c r="F13" s="14"/>
      <c r="G13" s="16"/>
      <c r="H13" s="14"/>
      <c r="I13" s="14"/>
      <c r="J13" s="14"/>
      <c r="K13" s="15">
        <v>0</v>
      </c>
      <c r="L13" s="14"/>
      <c r="M13" s="15">
        <v>0</v>
      </c>
      <c r="N13" s="14"/>
      <c r="O13" s="15">
        <v>0</v>
      </c>
      <c r="P13" s="14"/>
      <c r="Q13" s="15">
        <v>0</v>
      </c>
      <c r="R13" s="13"/>
      <c r="S13" s="13"/>
      <c r="T13" s="13"/>
      <c r="U13" s="15">
        <v>0</v>
      </c>
      <c r="V13" s="13"/>
      <c r="W13" s="15">
        <v>0</v>
      </c>
      <c r="X13" s="13"/>
      <c r="Y13" s="15">
        <v>0</v>
      </c>
      <c r="Z13" s="13"/>
      <c r="AA13" s="15">
        <v>0</v>
      </c>
      <c r="AB13" s="13"/>
      <c r="AC13" s="16"/>
      <c r="AD13" s="13"/>
      <c r="AE13" s="15">
        <v>0</v>
      </c>
      <c r="AF13" s="13"/>
      <c r="AG13" s="15">
        <v>0</v>
      </c>
      <c r="AH13" s="13"/>
      <c r="AI13" s="16"/>
      <c r="AJ13" s="13"/>
      <c r="AK13" s="15">
        <v>0</v>
      </c>
      <c r="AL13" s="7"/>
      <c r="AM13" s="15">
        <v>0</v>
      </c>
      <c r="AN13" s="13"/>
      <c r="AO13" s="16"/>
      <c r="AP13" s="16"/>
      <c r="AQ13" s="16"/>
      <c r="AR13" s="15">
        <v>0</v>
      </c>
      <c r="AS13" s="15">
        <v>0</v>
      </c>
      <c r="AT13" s="15">
        <v>0</v>
      </c>
      <c r="AU13" s="15">
        <v>0</v>
      </c>
      <c r="AV13" s="16"/>
      <c r="AW13" s="16"/>
      <c r="AX13" s="16"/>
      <c r="AY13" s="15">
        <v>0</v>
      </c>
      <c r="AZ13" s="16"/>
      <c r="BA13" s="15">
        <v>0</v>
      </c>
      <c r="BB13" s="16"/>
      <c r="BC13" s="15">
        <v>0</v>
      </c>
      <c r="BE13" s="15">
        <v>3</v>
      </c>
    </row>
    <row r="14" spans="1:57" hidden="1" outlineLevel="1" x14ac:dyDescent="0.3">
      <c r="A14" s="1"/>
      <c r="B14" s="2">
        <v>7</v>
      </c>
      <c r="C14" s="2">
        <v>7</v>
      </c>
      <c r="D14" s="1" t="s">
        <v>12</v>
      </c>
      <c r="E14" s="13"/>
      <c r="F14" s="14"/>
      <c r="G14" s="16"/>
      <c r="H14" s="14"/>
      <c r="I14" s="14"/>
      <c r="J14" s="14"/>
      <c r="K14" s="15">
        <v>0</v>
      </c>
      <c r="L14" s="14"/>
      <c r="M14" s="15">
        <v>0</v>
      </c>
      <c r="N14" s="14"/>
      <c r="O14" s="15">
        <v>0</v>
      </c>
      <c r="P14" s="14"/>
      <c r="Q14" s="15">
        <v>0</v>
      </c>
      <c r="R14" s="13"/>
      <c r="S14" s="13"/>
      <c r="T14" s="13"/>
      <c r="U14" s="15">
        <v>0</v>
      </c>
      <c r="V14" s="13"/>
      <c r="W14" s="15">
        <v>0</v>
      </c>
      <c r="X14" s="13"/>
      <c r="Y14" s="15">
        <v>0</v>
      </c>
      <c r="Z14" s="13"/>
      <c r="AA14" s="15">
        <v>0</v>
      </c>
      <c r="AB14" s="13"/>
      <c r="AC14" s="16"/>
      <c r="AD14" s="13"/>
      <c r="AE14" s="15">
        <v>0</v>
      </c>
      <c r="AF14" s="13"/>
      <c r="AG14" s="15">
        <v>0</v>
      </c>
      <c r="AH14" s="13"/>
      <c r="AI14" s="16"/>
      <c r="AJ14" s="13"/>
      <c r="AK14" s="15">
        <v>0</v>
      </c>
      <c r="AL14" s="7"/>
      <c r="AM14" s="15">
        <v>0</v>
      </c>
      <c r="AN14" s="13"/>
      <c r="AO14" s="16"/>
      <c r="AP14" s="16"/>
      <c r="AQ14" s="16"/>
      <c r="AR14" s="15">
        <v>0</v>
      </c>
      <c r="AS14" s="15">
        <v>0</v>
      </c>
      <c r="AT14" s="15">
        <v>0</v>
      </c>
      <c r="AU14" s="15">
        <v>0</v>
      </c>
      <c r="AV14" s="16"/>
      <c r="AW14" s="16"/>
      <c r="AX14" s="16"/>
      <c r="AY14" s="15">
        <v>1</v>
      </c>
      <c r="AZ14" s="16"/>
      <c r="BA14" s="15">
        <v>1</v>
      </c>
      <c r="BB14" s="16"/>
      <c r="BC14" s="15">
        <v>1</v>
      </c>
      <c r="BE14" s="15">
        <v>0</v>
      </c>
    </row>
    <row r="15" spans="1:57" hidden="1" outlineLevel="1" x14ac:dyDescent="0.3">
      <c r="A15" s="1"/>
      <c r="B15" s="2">
        <v>6</v>
      </c>
      <c r="C15" s="2">
        <v>6</v>
      </c>
      <c r="D15" s="1" t="s">
        <v>13</v>
      </c>
      <c r="E15" s="13"/>
      <c r="F15" s="14"/>
      <c r="G15" s="16"/>
      <c r="H15" s="14"/>
      <c r="I15" s="14"/>
      <c r="J15" s="14"/>
      <c r="K15" s="15">
        <v>0</v>
      </c>
      <c r="L15" s="14"/>
      <c r="M15" s="15">
        <v>0</v>
      </c>
      <c r="N15" s="14"/>
      <c r="O15" s="15">
        <v>0</v>
      </c>
      <c r="P15" s="14"/>
      <c r="Q15" s="15">
        <v>0</v>
      </c>
      <c r="R15" s="13"/>
      <c r="S15" s="13"/>
      <c r="T15" s="13"/>
      <c r="U15" s="15">
        <v>0</v>
      </c>
      <c r="V15" s="13"/>
      <c r="W15" s="15">
        <v>0</v>
      </c>
      <c r="X15" s="13"/>
      <c r="Y15" s="15">
        <v>0</v>
      </c>
      <c r="Z15" s="13"/>
      <c r="AA15" s="15">
        <v>0</v>
      </c>
      <c r="AB15" s="13"/>
      <c r="AC15" s="16"/>
      <c r="AD15" s="13"/>
      <c r="AE15" s="15">
        <v>0</v>
      </c>
      <c r="AF15" s="13"/>
      <c r="AG15" s="15">
        <v>0</v>
      </c>
      <c r="AH15" s="13"/>
      <c r="AI15" s="16"/>
      <c r="AJ15" s="13"/>
      <c r="AK15" s="15">
        <v>0</v>
      </c>
      <c r="AL15" s="7"/>
      <c r="AM15" s="15">
        <v>0</v>
      </c>
      <c r="AN15" s="13"/>
      <c r="AO15" s="16"/>
      <c r="AP15" s="16"/>
      <c r="AQ15" s="16"/>
      <c r="AR15" s="15">
        <v>0</v>
      </c>
      <c r="AS15" s="15">
        <v>0</v>
      </c>
      <c r="AT15" s="15">
        <v>0</v>
      </c>
      <c r="AU15" s="15">
        <v>0</v>
      </c>
      <c r="AV15" s="16"/>
      <c r="AW15" s="16"/>
      <c r="AX15" s="16"/>
      <c r="AY15" s="15">
        <v>0</v>
      </c>
      <c r="AZ15" s="16"/>
      <c r="BA15" s="15">
        <v>0</v>
      </c>
      <c r="BB15" s="16"/>
      <c r="BC15" s="15">
        <v>0</v>
      </c>
      <c r="BE15" s="15">
        <v>0</v>
      </c>
    </row>
    <row r="16" spans="1:57" hidden="1" outlineLevel="1" x14ac:dyDescent="0.3">
      <c r="A16" s="1"/>
      <c r="B16" s="2">
        <v>5</v>
      </c>
      <c r="C16" s="2">
        <v>5</v>
      </c>
      <c r="D16" s="1" t="s">
        <v>14</v>
      </c>
      <c r="E16" s="13"/>
      <c r="F16" s="14"/>
      <c r="G16" s="16"/>
      <c r="H16" s="14"/>
      <c r="I16" s="14"/>
      <c r="J16" s="14"/>
      <c r="K16" s="15">
        <v>1</v>
      </c>
      <c r="L16" s="14"/>
      <c r="M16" s="15">
        <v>1</v>
      </c>
      <c r="N16" s="14"/>
      <c r="O16" s="15">
        <v>1</v>
      </c>
      <c r="P16" s="14"/>
      <c r="Q16" s="15">
        <v>1</v>
      </c>
      <c r="R16" s="13"/>
      <c r="S16" s="13"/>
      <c r="T16" s="13"/>
      <c r="U16" s="15">
        <v>1</v>
      </c>
      <c r="V16" s="13"/>
      <c r="W16" s="15">
        <v>1</v>
      </c>
      <c r="X16" s="13"/>
      <c r="Y16" s="15">
        <v>1</v>
      </c>
      <c r="Z16" s="13"/>
      <c r="AA16" s="15">
        <v>1</v>
      </c>
      <c r="AB16" s="13"/>
      <c r="AC16" s="16"/>
      <c r="AD16" s="13"/>
      <c r="AE16" s="15">
        <v>1</v>
      </c>
      <c r="AF16" s="13"/>
      <c r="AG16" s="15">
        <v>1</v>
      </c>
      <c r="AH16" s="13"/>
      <c r="AI16" s="16"/>
      <c r="AJ16" s="13"/>
      <c r="AK16" s="15">
        <v>1</v>
      </c>
      <c r="AL16" s="7"/>
      <c r="AM16" s="15">
        <v>1</v>
      </c>
      <c r="AN16" s="13"/>
      <c r="AO16" s="16"/>
      <c r="AP16" s="16"/>
      <c r="AQ16" s="16"/>
      <c r="AR16" s="15">
        <v>0</v>
      </c>
      <c r="AS16" s="15">
        <v>0</v>
      </c>
      <c r="AT16" s="15">
        <v>0</v>
      </c>
      <c r="AU16" s="15">
        <v>0</v>
      </c>
      <c r="AV16" s="16"/>
      <c r="AW16" s="16"/>
      <c r="AX16" s="16"/>
      <c r="AY16" s="15">
        <v>1</v>
      </c>
      <c r="AZ16" s="16"/>
      <c r="BA16" s="15">
        <v>1</v>
      </c>
      <c r="BB16" s="16"/>
      <c r="BC16" s="15">
        <v>1</v>
      </c>
      <c r="BE16" s="15">
        <v>1</v>
      </c>
    </row>
    <row r="17" spans="1:57" hidden="1" outlineLevel="1" x14ac:dyDescent="0.3">
      <c r="A17" s="1"/>
      <c r="B17" s="2">
        <v>4</v>
      </c>
      <c r="C17" s="2">
        <v>4</v>
      </c>
      <c r="D17" s="1" t="s">
        <v>15</v>
      </c>
      <c r="E17" s="13"/>
      <c r="F17" s="14"/>
      <c r="G17" s="16"/>
      <c r="H17" s="14"/>
      <c r="I17" s="14"/>
      <c r="J17" s="14"/>
      <c r="K17" s="15">
        <v>0</v>
      </c>
      <c r="L17" s="14"/>
      <c r="M17" s="15">
        <v>0</v>
      </c>
      <c r="N17" s="14"/>
      <c r="O17" s="15">
        <v>0</v>
      </c>
      <c r="P17" s="14"/>
      <c r="Q17" s="15">
        <v>0</v>
      </c>
      <c r="R17" s="13"/>
      <c r="S17" s="13"/>
      <c r="T17" s="13"/>
      <c r="U17" s="15">
        <v>0</v>
      </c>
      <c r="V17" s="13"/>
      <c r="W17" s="15">
        <v>0</v>
      </c>
      <c r="X17" s="13"/>
      <c r="Y17" s="15">
        <v>0</v>
      </c>
      <c r="Z17" s="13"/>
      <c r="AA17" s="15">
        <v>0</v>
      </c>
      <c r="AB17" s="13"/>
      <c r="AC17" s="16"/>
      <c r="AD17" s="13"/>
      <c r="AE17" s="15">
        <v>0</v>
      </c>
      <c r="AF17" s="13"/>
      <c r="AG17" s="15">
        <v>0</v>
      </c>
      <c r="AH17" s="13"/>
      <c r="AI17" s="16"/>
      <c r="AJ17" s="13"/>
      <c r="AK17" s="15">
        <v>0</v>
      </c>
      <c r="AL17" s="7"/>
      <c r="AM17" s="15">
        <v>0</v>
      </c>
      <c r="AN17" s="13"/>
      <c r="AO17" s="16"/>
      <c r="AP17" s="16"/>
      <c r="AQ17" s="16"/>
      <c r="AR17" s="15">
        <v>0</v>
      </c>
      <c r="AS17" s="15">
        <v>0</v>
      </c>
      <c r="AT17" s="15">
        <v>0</v>
      </c>
      <c r="AU17" s="15">
        <v>0</v>
      </c>
      <c r="AV17" s="16"/>
      <c r="AW17" s="16"/>
      <c r="AX17" s="16"/>
      <c r="AY17" s="15">
        <v>0</v>
      </c>
      <c r="AZ17" s="16"/>
      <c r="BA17" s="15">
        <v>0</v>
      </c>
      <c r="BB17" s="16"/>
      <c r="BC17" s="15">
        <v>0</v>
      </c>
      <c r="BE17" s="15">
        <v>0</v>
      </c>
    </row>
    <row r="18" spans="1:57" hidden="1" outlineLevel="1" x14ac:dyDescent="0.3">
      <c r="A18" s="1"/>
      <c r="B18" s="2">
        <v>3</v>
      </c>
      <c r="C18" s="2">
        <v>2</v>
      </c>
      <c r="D18" s="1" t="s">
        <v>16</v>
      </c>
      <c r="E18" s="13"/>
      <c r="F18" s="14"/>
      <c r="G18" s="14"/>
      <c r="H18" s="14"/>
      <c r="I18" s="14"/>
      <c r="J18" s="14"/>
      <c r="K18" s="18">
        <v>3</v>
      </c>
      <c r="L18" s="14"/>
      <c r="M18" s="18">
        <v>2</v>
      </c>
      <c r="N18" s="14"/>
      <c r="O18" s="18">
        <v>2</v>
      </c>
      <c r="P18" s="14"/>
      <c r="Q18" s="18">
        <v>2</v>
      </c>
      <c r="R18" s="13"/>
      <c r="S18" s="13"/>
      <c r="T18" s="13"/>
      <c r="U18" s="18">
        <v>1</v>
      </c>
      <c r="V18" s="13"/>
      <c r="W18" s="18">
        <v>2</v>
      </c>
      <c r="X18" s="13"/>
      <c r="Y18" s="18">
        <v>2</v>
      </c>
      <c r="Z18" s="13"/>
      <c r="AA18" s="18">
        <v>2</v>
      </c>
      <c r="AB18" s="13"/>
      <c r="AC18" s="14"/>
      <c r="AD18" s="13"/>
      <c r="AE18" s="18">
        <v>0</v>
      </c>
      <c r="AF18" s="13"/>
      <c r="AG18" s="18">
        <v>1</v>
      </c>
      <c r="AH18" s="13"/>
      <c r="AI18" s="14"/>
      <c r="AJ18" s="13"/>
      <c r="AK18" s="18">
        <v>2</v>
      </c>
      <c r="AL18" s="7"/>
      <c r="AM18" s="18">
        <v>2</v>
      </c>
      <c r="AN18" s="13"/>
      <c r="AO18" s="14"/>
      <c r="AP18" s="14"/>
      <c r="AQ18" s="14"/>
      <c r="AR18" s="18">
        <v>3</v>
      </c>
      <c r="AS18" s="18">
        <v>1</v>
      </c>
      <c r="AT18" s="18">
        <v>3</v>
      </c>
      <c r="AU18" s="18">
        <v>0</v>
      </c>
      <c r="AV18" s="14"/>
      <c r="AW18" s="14"/>
      <c r="AX18" s="14"/>
      <c r="AY18" s="18">
        <v>0</v>
      </c>
      <c r="AZ18" s="14"/>
      <c r="BA18" s="18">
        <v>0</v>
      </c>
      <c r="BB18" s="14"/>
      <c r="BC18" s="18">
        <v>0</v>
      </c>
      <c r="BE18" s="18">
        <v>0</v>
      </c>
    </row>
    <row r="19" spans="1:57" hidden="1" outlineLevel="1" x14ac:dyDescent="0.3">
      <c r="A19" s="1"/>
      <c r="B19" s="2">
        <v>1</v>
      </c>
      <c r="C19" s="2">
        <v>0</v>
      </c>
      <c r="D19" s="1" t="s">
        <v>17</v>
      </c>
      <c r="E19" s="13"/>
      <c r="F19" s="14"/>
      <c r="G19" s="14"/>
      <c r="H19" s="14"/>
      <c r="I19" s="14"/>
      <c r="J19" s="14"/>
      <c r="K19" s="18">
        <v>2</v>
      </c>
      <c r="L19" s="14"/>
      <c r="M19" s="18">
        <v>2</v>
      </c>
      <c r="N19" s="14"/>
      <c r="O19" s="18">
        <v>2</v>
      </c>
      <c r="P19" s="14"/>
      <c r="Q19" s="18">
        <v>2</v>
      </c>
      <c r="R19" s="13"/>
      <c r="S19" s="13"/>
      <c r="T19" s="13"/>
      <c r="U19" s="18">
        <v>2</v>
      </c>
      <c r="V19" s="13"/>
      <c r="W19" s="18">
        <v>2</v>
      </c>
      <c r="X19" s="13"/>
      <c r="Y19" s="18">
        <v>2</v>
      </c>
      <c r="Z19" s="13"/>
      <c r="AA19" s="18">
        <v>2</v>
      </c>
      <c r="AB19" s="13"/>
      <c r="AC19" s="14"/>
      <c r="AD19" s="13"/>
      <c r="AE19" s="18">
        <v>1</v>
      </c>
      <c r="AF19" s="13"/>
      <c r="AG19" s="18">
        <v>1</v>
      </c>
      <c r="AH19" s="13"/>
      <c r="AI19" s="14"/>
      <c r="AJ19" s="13"/>
      <c r="AK19" s="18">
        <v>2</v>
      </c>
      <c r="AL19" s="7"/>
      <c r="AM19" s="18">
        <v>2</v>
      </c>
      <c r="AN19" s="13"/>
      <c r="AO19" s="14"/>
      <c r="AP19" s="14"/>
      <c r="AQ19" s="14"/>
      <c r="AR19" s="18">
        <v>3</v>
      </c>
      <c r="AS19" s="18">
        <v>1</v>
      </c>
      <c r="AT19" s="18">
        <v>3</v>
      </c>
      <c r="AU19" s="18">
        <v>1</v>
      </c>
      <c r="AV19" s="14"/>
      <c r="AW19" s="14"/>
      <c r="AX19" s="14"/>
      <c r="AY19" s="18">
        <v>3</v>
      </c>
      <c r="AZ19" s="14"/>
      <c r="BA19" s="18">
        <v>3</v>
      </c>
      <c r="BB19" s="14"/>
      <c r="BC19" s="18">
        <v>3</v>
      </c>
      <c r="BE19" s="18">
        <v>0</v>
      </c>
    </row>
    <row r="20" spans="1:57" collapsed="1" x14ac:dyDescent="0.3">
      <c r="A20" s="1" t="s">
        <v>343</v>
      </c>
      <c r="B20" s="2"/>
      <c r="C20" s="2"/>
      <c r="D20" s="1"/>
      <c r="E20" s="13"/>
      <c r="F20" s="14"/>
      <c r="G20" s="20" t="str">
        <f>BitsTo32Bit(G21:G24)</f>
        <v>2</v>
      </c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3"/>
      <c r="S20" s="13"/>
      <c r="T20" s="13"/>
      <c r="U20" s="14"/>
      <c r="V20" s="13"/>
      <c r="W20" s="14"/>
      <c r="X20" s="13"/>
      <c r="Y20" s="14"/>
      <c r="Z20" s="13"/>
      <c r="AA20" s="14"/>
      <c r="AB20" s="13"/>
      <c r="AC20" s="14"/>
      <c r="AD20" s="13"/>
      <c r="AE20" s="14"/>
      <c r="AF20" s="13"/>
      <c r="AG20" s="14"/>
      <c r="AH20" s="14"/>
      <c r="AI20" s="14"/>
      <c r="AJ20" s="13"/>
      <c r="AK20" s="14"/>
      <c r="AL20" s="7"/>
      <c r="AM20" s="14"/>
      <c r="AN20" s="13"/>
      <c r="AO20" s="14"/>
      <c r="AP20" s="14"/>
      <c r="AQ20" s="14"/>
      <c r="AR20" s="14"/>
      <c r="AS20" s="14"/>
      <c r="AT20" s="14"/>
      <c r="AU20" s="14"/>
      <c r="AV20" s="14"/>
      <c r="AW20" s="20" t="str">
        <f>BitsTo32Bit(AW21:AW24)</f>
        <v>2</v>
      </c>
      <c r="AX20" s="14"/>
      <c r="AY20" s="14"/>
      <c r="AZ20" s="14"/>
      <c r="BA20" s="14"/>
      <c r="BB20" s="14"/>
      <c r="BC20" s="14"/>
      <c r="BE20" s="20" t="str">
        <f>BitsTo32Bit(BE21:BE24)</f>
        <v>2</v>
      </c>
    </row>
    <row r="21" spans="1:57" hidden="1" outlineLevel="1" x14ac:dyDescent="0.3">
      <c r="A21" s="1"/>
      <c r="B21" s="2">
        <v>31</v>
      </c>
      <c r="C21" s="2">
        <v>4</v>
      </c>
      <c r="D21" s="5" t="s">
        <v>1</v>
      </c>
      <c r="E21" s="13"/>
      <c r="F21" s="14"/>
      <c r="G21" s="18">
        <v>0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3"/>
      <c r="S21" s="13"/>
      <c r="T21" s="13"/>
      <c r="U21" s="14"/>
      <c r="V21" s="13"/>
      <c r="W21" s="14"/>
      <c r="X21" s="13"/>
      <c r="Y21" s="14"/>
      <c r="Z21" s="13"/>
      <c r="AA21" s="14"/>
      <c r="AB21" s="13"/>
      <c r="AC21" s="14"/>
      <c r="AD21" s="13"/>
      <c r="AE21" s="14"/>
      <c r="AF21" s="13"/>
      <c r="AG21" s="14"/>
      <c r="AH21" s="14"/>
      <c r="AI21" s="14"/>
      <c r="AJ21" s="13"/>
      <c r="AK21" s="14"/>
      <c r="AL21" s="7"/>
      <c r="AM21" s="14"/>
      <c r="AN21" s="13"/>
      <c r="AO21" s="14"/>
      <c r="AP21" s="14"/>
      <c r="AQ21" s="14"/>
      <c r="AR21" s="14"/>
      <c r="AS21" s="14"/>
      <c r="AT21" s="14"/>
      <c r="AU21" s="14"/>
      <c r="AV21" s="14"/>
      <c r="AW21" s="50">
        <v>0</v>
      </c>
      <c r="AX21" s="14"/>
      <c r="AY21" s="14"/>
      <c r="AZ21" s="14"/>
      <c r="BA21" s="14"/>
      <c r="BB21" s="14"/>
      <c r="BC21" s="14"/>
      <c r="BE21" s="18">
        <v>0</v>
      </c>
    </row>
    <row r="22" spans="1:57" hidden="1" outlineLevel="1" x14ac:dyDescent="0.3">
      <c r="A22" s="1"/>
      <c r="B22" s="2">
        <v>3</v>
      </c>
      <c r="C22" s="2">
        <v>3</v>
      </c>
      <c r="D22" s="5" t="s">
        <v>344</v>
      </c>
      <c r="E22" s="13"/>
      <c r="F22" s="14"/>
      <c r="G22" s="18">
        <v>0</v>
      </c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3"/>
      <c r="S22" s="13"/>
      <c r="T22" s="13"/>
      <c r="U22" s="14"/>
      <c r="V22" s="13"/>
      <c r="W22" s="14"/>
      <c r="X22" s="13"/>
      <c r="Y22" s="14"/>
      <c r="Z22" s="13"/>
      <c r="AA22" s="14"/>
      <c r="AB22" s="13"/>
      <c r="AC22" s="14"/>
      <c r="AD22" s="13"/>
      <c r="AE22" s="14"/>
      <c r="AF22" s="13"/>
      <c r="AG22" s="14"/>
      <c r="AH22" s="14"/>
      <c r="AI22" s="14"/>
      <c r="AJ22" s="13"/>
      <c r="AK22" s="14"/>
      <c r="AL22" s="7"/>
      <c r="AM22" s="14"/>
      <c r="AN22" s="13"/>
      <c r="AO22" s="14"/>
      <c r="AP22" s="14"/>
      <c r="AQ22" s="14"/>
      <c r="AR22" s="14"/>
      <c r="AS22" s="14"/>
      <c r="AT22" s="14"/>
      <c r="AU22" s="14"/>
      <c r="AV22" s="14"/>
      <c r="AW22" s="51">
        <v>0</v>
      </c>
      <c r="AX22" s="14"/>
      <c r="AY22" s="14"/>
      <c r="AZ22" s="14"/>
      <c r="BA22" s="14"/>
      <c r="BB22" s="14"/>
      <c r="BC22" s="14"/>
      <c r="BE22" s="18">
        <v>0</v>
      </c>
    </row>
    <row r="23" spans="1:57" hidden="1" outlineLevel="1" x14ac:dyDescent="0.3">
      <c r="A23" s="1"/>
      <c r="B23" s="2">
        <v>2</v>
      </c>
      <c r="C23" s="2">
        <v>2</v>
      </c>
      <c r="D23" s="5" t="s">
        <v>345</v>
      </c>
      <c r="E23" s="13"/>
      <c r="F23" s="14"/>
      <c r="G23" s="18">
        <v>0</v>
      </c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3"/>
      <c r="S23" s="13"/>
      <c r="T23" s="13"/>
      <c r="U23" s="14"/>
      <c r="V23" s="13"/>
      <c r="W23" s="14"/>
      <c r="X23" s="13"/>
      <c r="Y23" s="14"/>
      <c r="Z23" s="13"/>
      <c r="AA23" s="14"/>
      <c r="AB23" s="13"/>
      <c r="AC23" s="14"/>
      <c r="AD23" s="13"/>
      <c r="AE23" s="14"/>
      <c r="AF23" s="13"/>
      <c r="AG23" s="14"/>
      <c r="AH23" s="14"/>
      <c r="AI23" s="14"/>
      <c r="AJ23" s="13"/>
      <c r="AK23" s="14"/>
      <c r="AL23" s="7"/>
      <c r="AM23" s="14"/>
      <c r="AN23" s="13"/>
      <c r="AO23" s="14"/>
      <c r="AP23" s="14"/>
      <c r="AQ23" s="14"/>
      <c r="AR23" s="14"/>
      <c r="AS23" s="14"/>
      <c r="AT23" s="14"/>
      <c r="AU23" s="14"/>
      <c r="AV23" s="14"/>
      <c r="AW23" s="51">
        <v>0</v>
      </c>
      <c r="AX23" s="14"/>
      <c r="AY23" s="14"/>
      <c r="AZ23" s="14"/>
      <c r="BA23" s="14"/>
      <c r="BB23" s="14"/>
      <c r="BC23" s="14"/>
      <c r="BE23" s="18">
        <v>0</v>
      </c>
    </row>
    <row r="24" spans="1:57" hidden="1" outlineLevel="1" x14ac:dyDescent="0.3">
      <c r="A24" s="1"/>
      <c r="B24" s="2">
        <v>1</v>
      </c>
      <c r="C24" s="2">
        <v>0</v>
      </c>
      <c r="D24" s="5" t="s">
        <v>346</v>
      </c>
      <c r="E24" s="13"/>
      <c r="F24" s="14"/>
      <c r="G24" s="18">
        <v>2</v>
      </c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3"/>
      <c r="S24" s="13"/>
      <c r="T24" s="13"/>
      <c r="U24" s="14"/>
      <c r="V24" s="13"/>
      <c r="W24" s="14"/>
      <c r="X24" s="13"/>
      <c r="Y24" s="14"/>
      <c r="Z24" s="13"/>
      <c r="AA24" s="14"/>
      <c r="AB24" s="13"/>
      <c r="AC24" s="14"/>
      <c r="AD24" s="13"/>
      <c r="AE24" s="14"/>
      <c r="AF24" s="13"/>
      <c r="AG24" s="14"/>
      <c r="AH24" s="14"/>
      <c r="AI24" s="14"/>
      <c r="AJ24" s="13"/>
      <c r="AK24" s="14"/>
      <c r="AL24" s="7"/>
      <c r="AM24" s="14"/>
      <c r="AN24" s="13"/>
      <c r="AO24" s="14"/>
      <c r="AP24" s="14"/>
      <c r="AQ24" s="14"/>
      <c r="AR24" s="14"/>
      <c r="AS24" s="14"/>
      <c r="AT24" s="14"/>
      <c r="AU24" s="14"/>
      <c r="AV24" s="14"/>
      <c r="AW24" s="51">
        <v>2</v>
      </c>
      <c r="AX24" s="14"/>
      <c r="AY24" s="14"/>
      <c r="AZ24" s="14"/>
      <c r="BA24" s="14"/>
      <c r="BB24" s="14"/>
      <c r="BC24" s="14"/>
      <c r="BE24" s="18">
        <v>2</v>
      </c>
    </row>
    <row r="25" spans="1:57" collapsed="1" x14ac:dyDescent="0.3">
      <c r="A25" s="3" t="s">
        <v>211</v>
      </c>
      <c r="B25" s="4"/>
      <c r="C25" s="4"/>
      <c r="D25" s="3"/>
      <c r="E25" s="13"/>
      <c r="F25" s="14"/>
      <c r="G25" s="14"/>
      <c r="H25" s="14"/>
      <c r="I25" s="14"/>
      <c r="J25" s="14"/>
      <c r="K25" s="20" t="str">
        <f>BitsTo32Bit(K26:K42)</f>
        <v>0486DC</v>
      </c>
      <c r="L25" s="14"/>
      <c r="M25" s="20" t="str">
        <f>BitsTo32Bit(M26:M42)</f>
        <v>011F8B05</v>
      </c>
      <c r="N25" s="14"/>
      <c r="O25" s="20" t="str">
        <f>BitsTo32Bit(O26:O42)</f>
        <v>0106A05</v>
      </c>
      <c r="P25" s="14"/>
      <c r="Q25" s="20" t="str">
        <f>BitsTo32Bit(Q26:Q42)</f>
        <v>010F5805</v>
      </c>
      <c r="R25" s="13"/>
      <c r="S25" s="13"/>
      <c r="T25" s="13"/>
      <c r="U25" s="38" t="str">
        <f>BitsTo32Bit(U26:U42)</f>
        <v>011F5615</v>
      </c>
      <c r="V25" s="13"/>
      <c r="W25" s="38" t="str">
        <f>BitsTo32Bit(W26:W42)</f>
        <v>011F7A05</v>
      </c>
      <c r="X25" s="13"/>
      <c r="Y25" s="38" t="str">
        <f>BitsTo32Bit(Y26:Y42)</f>
        <v>010F3715</v>
      </c>
      <c r="Z25" s="13"/>
      <c r="AA25" s="38" t="str">
        <f>BitsTo32Bit(AA26:AA42)</f>
        <v>010F5805</v>
      </c>
      <c r="AB25" s="13"/>
      <c r="AC25" s="13"/>
      <c r="AD25" s="13"/>
      <c r="AE25" s="38" t="str">
        <f>BitsTo32Bit(AE26:AE42)</f>
        <v>010F3705</v>
      </c>
      <c r="AF25" s="13"/>
      <c r="AG25" s="38" t="str">
        <f>BitsTo32Bit(AG26:AG42)</f>
        <v>010F2605</v>
      </c>
      <c r="AH25" s="13"/>
      <c r="AI25" s="13"/>
      <c r="AJ25" s="13"/>
      <c r="AK25" s="38" t="str">
        <f>BitsTo32Bit(AK26:AK42)</f>
        <v>0C4010</v>
      </c>
      <c r="AL25" s="7"/>
      <c r="AM25" s="38" t="str">
        <f>BitsTo32Bit(AM26:AM42)</f>
        <v>0C4010</v>
      </c>
      <c r="AN25" s="13"/>
      <c r="AO25" s="13"/>
      <c r="AP25" s="13"/>
      <c r="AQ25" s="13"/>
      <c r="AR25" s="38" t="str">
        <f>BitsTo32Bit(AR26:AR42)</f>
        <v>0CF094</v>
      </c>
      <c r="AS25" s="38" t="str">
        <f>BitsTo32Bit(AS26:AS42)</f>
        <v>0C7094</v>
      </c>
      <c r="AT25" s="38" t="str">
        <f>BitsTo32Bit(AT26:AT42)</f>
        <v>0C8094</v>
      </c>
      <c r="AU25" s="38" t="str">
        <f>BitsTo32Bit(AU26:AU42)</f>
        <v>0C7094</v>
      </c>
      <c r="AV25" s="13"/>
      <c r="AW25" s="45" t="str">
        <f>BitsTo32Bit(AW26:AW42)</f>
        <v>010CCC05</v>
      </c>
      <c r="AX25" s="21"/>
      <c r="AY25" s="13"/>
      <c r="AZ25" s="13"/>
      <c r="BA25" s="13"/>
      <c r="BB25" s="13"/>
      <c r="BC25" s="13"/>
      <c r="BE25" s="45" t="str">
        <f>BitsTo32Bit(BE26:BE42)</f>
        <v>0C0000</v>
      </c>
    </row>
    <row r="26" spans="1:57" s="26" customFormat="1" hidden="1" outlineLevel="1" x14ac:dyDescent="0.3">
      <c r="A26" s="3"/>
      <c r="B26" s="4">
        <v>31</v>
      </c>
      <c r="C26" s="4">
        <v>25</v>
      </c>
      <c r="D26" s="3" t="s">
        <v>1</v>
      </c>
      <c r="E26" s="21"/>
      <c r="F26" s="22"/>
      <c r="G26" s="22"/>
      <c r="H26" s="22"/>
      <c r="I26" s="22"/>
      <c r="J26" s="22"/>
      <c r="K26" s="23">
        <v>0</v>
      </c>
      <c r="L26" s="22"/>
      <c r="M26" s="23">
        <v>0</v>
      </c>
      <c r="N26" s="22"/>
      <c r="O26" s="23">
        <v>0</v>
      </c>
      <c r="P26" s="22"/>
      <c r="Q26" s="23">
        <v>0</v>
      </c>
      <c r="R26" s="21"/>
      <c r="S26" s="21"/>
      <c r="T26" s="21"/>
      <c r="U26" s="24">
        <v>0</v>
      </c>
      <c r="V26" s="21"/>
      <c r="W26" s="24">
        <v>0</v>
      </c>
      <c r="X26" s="21"/>
      <c r="Y26" s="24">
        <v>0</v>
      </c>
      <c r="Z26" s="21"/>
      <c r="AA26" s="24">
        <v>0</v>
      </c>
      <c r="AB26" s="21"/>
      <c r="AC26" s="21"/>
      <c r="AD26" s="21"/>
      <c r="AE26" s="24">
        <v>0</v>
      </c>
      <c r="AF26" s="21"/>
      <c r="AG26" s="24">
        <v>0</v>
      </c>
      <c r="AH26" s="21"/>
      <c r="AI26" s="31"/>
      <c r="AJ26" s="13"/>
      <c r="AK26" s="19">
        <v>0</v>
      </c>
      <c r="AL26" s="7"/>
      <c r="AM26" s="19">
        <v>0</v>
      </c>
      <c r="AN26" s="21"/>
      <c r="AO26" s="31"/>
      <c r="AP26" s="40"/>
      <c r="AQ26" s="40"/>
      <c r="AR26" s="19">
        <v>0</v>
      </c>
      <c r="AS26" s="19">
        <v>0</v>
      </c>
      <c r="AT26" s="19">
        <v>0</v>
      </c>
      <c r="AU26" s="19">
        <v>0</v>
      </c>
      <c r="AV26" s="40"/>
      <c r="AW26" s="29">
        <v>0</v>
      </c>
      <c r="AX26" s="21"/>
      <c r="AY26" s="21"/>
      <c r="AZ26" s="13"/>
      <c r="BA26" s="21"/>
      <c r="BB26" s="13"/>
      <c r="BC26" s="21"/>
      <c r="BD26"/>
      <c r="BE26" s="29">
        <v>0</v>
      </c>
    </row>
    <row r="27" spans="1:57" s="26" customFormat="1" hidden="1" outlineLevel="1" x14ac:dyDescent="0.3">
      <c r="A27" s="3"/>
      <c r="B27" s="4">
        <v>24</v>
      </c>
      <c r="C27" s="4">
        <v>24</v>
      </c>
      <c r="D27" s="3" t="s">
        <v>310</v>
      </c>
      <c r="E27" s="21"/>
      <c r="F27" s="22"/>
      <c r="G27" s="22"/>
      <c r="H27" s="22"/>
      <c r="I27" s="22"/>
      <c r="J27" s="22"/>
      <c r="K27" s="23">
        <v>0</v>
      </c>
      <c r="L27" s="22"/>
      <c r="M27" s="23">
        <v>1</v>
      </c>
      <c r="N27" s="22"/>
      <c r="O27" s="23">
        <v>0</v>
      </c>
      <c r="P27" s="22"/>
      <c r="Q27" s="23">
        <v>1</v>
      </c>
      <c r="R27" s="21"/>
      <c r="S27" s="21"/>
      <c r="T27" s="21"/>
      <c r="U27" s="24">
        <v>1</v>
      </c>
      <c r="V27" s="21"/>
      <c r="W27" s="24">
        <v>1</v>
      </c>
      <c r="X27" s="21"/>
      <c r="Y27" s="24">
        <v>1</v>
      </c>
      <c r="Z27" s="21"/>
      <c r="AA27" s="24">
        <v>1</v>
      </c>
      <c r="AB27" s="21"/>
      <c r="AC27" s="21"/>
      <c r="AD27" s="21"/>
      <c r="AE27" s="24">
        <v>1</v>
      </c>
      <c r="AF27" s="21"/>
      <c r="AG27" s="24">
        <v>1</v>
      </c>
      <c r="AH27" s="21"/>
      <c r="AI27" s="31"/>
      <c r="AJ27" s="13"/>
      <c r="AK27" s="19">
        <v>0</v>
      </c>
      <c r="AL27" s="7"/>
      <c r="AM27" s="19">
        <v>0</v>
      </c>
      <c r="AN27" s="21"/>
      <c r="AO27" s="31"/>
      <c r="AP27" s="40"/>
      <c r="AQ27" s="40"/>
      <c r="AR27" s="19">
        <v>0</v>
      </c>
      <c r="AS27" s="19">
        <v>0</v>
      </c>
      <c r="AT27" s="19">
        <v>0</v>
      </c>
      <c r="AU27" s="19">
        <v>0</v>
      </c>
      <c r="AV27" s="40"/>
      <c r="AW27" s="29">
        <v>1</v>
      </c>
      <c r="AX27" s="21"/>
      <c r="AY27" s="21"/>
      <c r="AZ27" s="13"/>
      <c r="BA27" s="21"/>
      <c r="BB27" s="13"/>
      <c r="BC27" s="21"/>
      <c r="BD27"/>
      <c r="BE27" s="29">
        <v>0</v>
      </c>
    </row>
    <row r="28" spans="1:57" hidden="1" outlineLevel="1" x14ac:dyDescent="0.3">
      <c r="A28" s="3"/>
      <c r="B28" s="4">
        <v>23</v>
      </c>
      <c r="C28" s="4">
        <v>21</v>
      </c>
      <c r="D28" s="3" t="s">
        <v>212</v>
      </c>
      <c r="E28" s="13"/>
      <c r="F28" s="14"/>
      <c r="G28" s="14"/>
      <c r="H28" s="14"/>
      <c r="I28" s="14"/>
      <c r="J28" s="14"/>
      <c r="K28" s="18">
        <v>0</v>
      </c>
      <c r="L28" s="14"/>
      <c r="M28" s="18">
        <v>0</v>
      </c>
      <c r="N28" s="14"/>
      <c r="O28" s="18">
        <v>0</v>
      </c>
      <c r="P28" s="14"/>
      <c r="Q28" s="18">
        <v>0</v>
      </c>
      <c r="R28" s="13"/>
      <c r="S28" s="13"/>
      <c r="T28" s="13"/>
      <c r="U28" s="39">
        <v>0</v>
      </c>
      <c r="V28" s="13"/>
      <c r="W28" s="39">
        <v>0</v>
      </c>
      <c r="X28" s="13"/>
      <c r="Y28" s="39">
        <v>0</v>
      </c>
      <c r="Z28" s="13"/>
      <c r="AA28" s="39">
        <v>0</v>
      </c>
      <c r="AB28" s="13"/>
      <c r="AC28" s="13"/>
      <c r="AD28" s="13"/>
      <c r="AE28" s="39">
        <v>0</v>
      </c>
      <c r="AF28" s="13"/>
      <c r="AG28" s="39">
        <v>0</v>
      </c>
      <c r="AH28" s="13"/>
      <c r="AI28" s="13"/>
      <c r="AJ28" s="13"/>
      <c r="AK28" s="39">
        <v>0</v>
      </c>
      <c r="AL28" s="7"/>
      <c r="AM28" s="39">
        <v>0</v>
      </c>
      <c r="AN28" s="13"/>
      <c r="AO28" s="13"/>
      <c r="AP28" s="13"/>
      <c r="AQ28" s="13"/>
      <c r="AR28" s="39">
        <v>0</v>
      </c>
      <c r="AS28" s="39">
        <v>0</v>
      </c>
      <c r="AT28" s="39">
        <v>0</v>
      </c>
      <c r="AU28" s="39">
        <v>0</v>
      </c>
      <c r="AV28" s="13"/>
      <c r="AW28" s="29">
        <v>0</v>
      </c>
      <c r="AX28" s="21"/>
      <c r="AY28" s="13"/>
      <c r="AZ28" s="13"/>
      <c r="BA28" s="13"/>
      <c r="BB28" s="13"/>
      <c r="BC28" s="13"/>
      <c r="BE28" s="29">
        <v>0</v>
      </c>
    </row>
    <row r="29" spans="1:57" hidden="1" outlineLevel="1" x14ac:dyDescent="0.3">
      <c r="A29" s="3"/>
      <c r="B29" s="4">
        <v>20</v>
      </c>
      <c r="C29" s="4">
        <v>20</v>
      </c>
      <c r="D29" s="3" t="s">
        <v>213</v>
      </c>
      <c r="E29" s="13"/>
      <c r="F29" s="14"/>
      <c r="G29" s="14"/>
      <c r="H29" s="14"/>
      <c r="I29" s="14"/>
      <c r="J29" s="14"/>
      <c r="K29" s="15">
        <v>0</v>
      </c>
      <c r="L29" s="14"/>
      <c r="M29" s="15">
        <v>1</v>
      </c>
      <c r="N29" s="14"/>
      <c r="O29" s="15">
        <v>1</v>
      </c>
      <c r="P29" s="14"/>
      <c r="Q29" s="15">
        <v>0</v>
      </c>
      <c r="R29" s="13"/>
      <c r="S29" s="13"/>
      <c r="T29" s="13"/>
      <c r="U29" s="19">
        <v>1</v>
      </c>
      <c r="V29" s="13"/>
      <c r="W29" s="19">
        <v>1</v>
      </c>
      <c r="X29" s="13"/>
      <c r="Y29" s="19">
        <v>0</v>
      </c>
      <c r="Z29" s="13"/>
      <c r="AA29" s="19">
        <v>0</v>
      </c>
      <c r="AB29" s="13"/>
      <c r="AC29" s="13"/>
      <c r="AD29" s="13"/>
      <c r="AE29" s="19">
        <v>0</v>
      </c>
      <c r="AF29" s="13"/>
      <c r="AG29" s="19">
        <v>0</v>
      </c>
      <c r="AH29" s="13"/>
      <c r="AI29" s="40"/>
      <c r="AJ29" s="13"/>
      <c r="AK29" s="19">
        <v>0</v>
      </c>
      <c r="AL29" s="7"/>
      <c r="AM29" s="19">
        <v>0</v>
      </c>
      <c r="AN29" s="13"/>
      <c r="AO29" s="40"/>
      <c r="AP29" s="40"/>
      <c r="AQ29" s="40"/>
      <c r="AR29" s="19">
        <v>0</v>
      </c>
      <c r="AS29" s="19">
        <v>0</v>
      </c>
      <c r="AT29" s="19">
        <v>0</v>
      </c>
      <c r="AU29" s="19">
        <v>0</v>
      </c>
      <c r="AV29" s="40"/>
      <c r="AW29" s="29">
        <v>0</v>
      </c>
      <c r="AX29" s="21"/>
      <c r="AY29" s="13"/>
      <c r="AZ29" s="13"/>
      <c r="BA29" s="13"/>
      <c r="BB29" s="13"/>
      <c r="BC29" s="13"/>
      <c r="BE29" s="29">
        <v>0</v>
      </c>
    </row>
    <row r="30" spans="1:57" hidden="1" outlineLevel="1" x14ac:dyDescent="0.3">
      <c r="A30" s="3"/>
      <c r="B30" s="4">
        <v>19</v>
      </c>
      <c r="C30" s="4">
        <v>19</v>
      </c>
      <c r="D30" s="3" t="s">
        <v>214</v>
      </c>
      <c r="E30" s="13"/>
      <c r="F30" s="14"/>
      <c r="G30" s="14"/>
      <c r="H30" s="14"/>
      <c r="I30" s="14"/>
      <c r="J30" s="14"/>
      <c r="K30" s="15">
        <v>0</v>
      </c>
      <c r="L30" s="14"/>
      <c r="M30" s="15">
        <v>1</v>
      </c>
      <c r="N30" s="14"/>
      <c r="O30" s="15">
        <v>0</v>
      </c>
      <c r="P30" s="14"/>
      <c r="Q30" s="15">
        <v>1</v>
      </c>
      <c r="R30" s="13"/>
      <c r="S30" s="13"/>
      <c r="T30" s="13"/>
      <c r="U30" s="19">
        <v>1</v>
      </c>
      <c r="V30" s="13"/>
      <c r="W30" s="19">
        <v>1</v>
      </c>
      <c r="X30" s="13"/>
      <c r="Y30" s="19">
        <v>1</v>
      </c>
      <c r="Z30" s="13"/>
      <c r="AA30" s="19">
        <v>1</v>
      </c>
      <c r="AB30" s="13"/>
      <c r="AC30" s="13"/>
      <c r="AD30" s="13"/>
      <c r="AE30" s="19">
        <v>1</v>
      </c>
      <c r="AF30" s="13"/>
      <c r="AG30" s="19">
        <v>1</v>
      </c>
      <c r="AH30" s="13"/>
      <c r="AI30" s="40"/>
      <c r="AJ30" s="13"/>
      <c r="AK30" s="19">
        <v>1</v>
      </c>
      <c r="AL30" s="7"/>
      <c r="AM30" s="19">
        <v>1</v>
      </c>
      <c r="AN30" s="13"/>
      <c r="AO30" s="40"/>
      <c r="AP30" s="40"/>
      <c r="AQ30" s="40"/>
      <c r="AR30" s="19">
        <v>1</v>
      </c>
      <c r="AS30" s="19">
        <v>1</v>
      </c>
      <c r="AT30" s="19">
        <v>1</v>
      </c>
      <c r="AU30" s="19">
        <v>1</v>
      </c>
      <c r="AV30" s="40"/>
      <c r="AW30" s="29">
        <v>1</v>
      </c>
      <c r="AX30" s="21"/>
      <c r="AY30" s="13"/>
      <c r="AZ30" s="13"/>
      <c r="BA30" s="13"/>
      <c r="BB30" s="13"/>
      <c r="BC30" s="13"/>
      <c r="BE30" s="29">
        <v>1</v>
      </c>
    </row>
    <row r="31" spans="1:57" hidden="1" outlineLevel="1" x14ac:dyDescent="0.3">
      <c r="A31" s="3"/>
      <c r="B31" s="4">
        <v>18</v>
      </c>
      <c r="C31" s="4">
        <v>18</v>
      </c>
      <c r="D31" s="3" t="s">
        <v>215</v>
      </c>
      <c r="E31" s="13"/>
      <c r="F31" s="14"/>
      <c r="G31" s="14"/>
      <c r="H31" s="14"/>
      <c r="I31" s="14"/>
      <c r="J31" s="14"/>
      <c r="K31" s="15">
        <v>1</v>
      </c>
      <c r="L31" s="14"/>
      <c r="M31" s="15">
        <v>1</v>
      </c>
      <c r="N31" s="14"/>
      <c r="O31" s="15">
        <v>0</v>
      </c>
      <c r="P31" s="14"/>
      <c r="Q31" s="15">
        <v>1</v>
      </c>
      <c r="R31" s="13"/>
      <c r="S31" s="13"/>
      <c r="T31" s="13"/>
      <c r="U31" s="19">
        <v>1</v>
      </c>
      <c r="V31" s="13"/>
      <c r="W31" s="19">
        <v>1</v>
      </c>
      <c r="X31" s="13"/>
      <c r="Y31" s="19">
        <v>1</v>
      </c>
      <c r="Z31" s="13"/>
      <c r="AA31" s="19">
        <v>1</v>
      </c>
      <c r="AB31" s="13"/>
      <c r="AC31" s="13"/>
      <c r="AD31" s="13"/>
      <c r="AE31" s="19">
        <v>1</v>
      </c>
      <c r="AF31" s="13"/>
      <c r="AG31" s="19">
        <v>1</v>
      </c>
      <c r="AH31" s="13"/>
      <c r="AI31" s="40"/>
      <c r="AJ31" s="13"/>
      <c r="AK31" s="19">
        <v>1</v>
      </c>
      <c r="AL31" s="7"/>
      <c r="AM31" s="19">
        <v>1</v>
      </c>
      <c r="AN31" s="13"/>
      <c r="AO31" s="40"/>
      <c r="AP31" s="40"/>
      <c r="AQ31" s="40"/>
      <c r="AR31" s="19">
        <v>1</v>
      </c>
      <c r="AS31" s="19">
        <v>1</v>
      </c>
      <c r="AT31" s="19">
        <v>1</v>
      </c>
      <c r="AU31" s="19">
        <v>1</v>
      </c>
      <c r="AV31" s="40"/>
      <c r="AW31" s="29">
        <v>1</v>
      </c>
      <c r="AX31" s="21"/>
      <c r="AY31" s="13"/>
      <c r="AZ31" s="13"/>
      <c r="BA31" s="13"/>
      <c r="BB31" s="13"/>
      <c r="BC31" s="13"/>
      <c r="BE31" s="29">
        <v>1</v>
      </c>
    </row>
    <row r="32" spans="1:57" hidden="1" outlineLevel="1" x14ac:dyDescent="0.3">
      <c r="A32" s="3"/>
      <c r="B32" s="4">
        <v>17</v>
      </c>
      <c r="C32" s="4">
        <v>17</v>
      </c>
      <c r="D32" s="3" t="s">
        <v>216</v>
      </c>
      <c r="E32" s="13"/>
      <c r="F32" s="14"/>
      <c r="G32" s="14"/>
      <c r="H32" s="14"/>
      <c r="I32" s="14"/>
      <c r="J32" s="14"/>
      <c r="K32" s="18">
        <v>0</v>
      </c>
      <c r="L32" s="14"/>
      <c r="M32" s="18">
        <v>1</v>
      </c>
      <c r="N32" s="14"/>
      <c r="O32" s="18">
        <v>0</v>
      </c>
      <c r="P32" s="14"/>
      <c r="Q32" s="18">
        <v>1</v>
      </c>
      <c r="R32" s="13"/>
      <c r="S32" s="13"/>
      <c r="T32" s="13"/>
      <c r="U32" s="39">
        <v>1</v>
      </c>
      <c r="V32" s="13"/>
      <c r="W32" s="39">
        <v>1</v>
      </c>
      <c r="X32" s="13"/>
      <c r="Y32" s="39">
        <v>1</v>
      </c>
      <c r="Z32" s="13"/>
      <c r="AA32" s="39">
        <v>1</v>
      </c>
      <c r="AB32" s="13"/>
      <c r="AC32" s="13"/>
      <c r="AD32" s="13"/>
      <c r="AE32" s="39">
        <v>1</v>
      </c>
      <c r="AF32" s="13"/>
      <c r="AG32" s="39">
        <v>1</v>
      </c>
      <c r="AH32" s="13"/>
      <c r="AI32" s="13"/>
      <c r="AJ32" s="13"/>
      <c r="AK32" s="39">
        <v>0</v>
      </c>
      <c r="AL32" s="7"/>
      <c r="AM32" s="39">
        <v>0</v>
      </c>
      <c r="AN32" s="13"/>
      <c r="AO32" s="13"/>
      <c r="AP32" s="13"/>
      <c r="AQ32" s="13"/>
      <c r="AR32" s="39">
        <v>0</v>
      </c>
      <c r="AS32" s="39">
        <v>0</v>
      </c>
      <c r="AT32" s="39">
        <v>0</v>
      </c>
      <c r="AU32" s="39">
        <v>0</v>
      </c>
      <c r="AV32" s="13"/>
      <c r="AW32" s="29">
        <v>0</v>
      </c>
      <c r="AX32" s="21"/>
      <c r="AY32" s="13"/>
      <c r="AZ32" s="13"/>
      <c r="BA32" s="13"/>
      <c r="BB32" s="13"/>
      <c r="BC32" s="13"/>
      <c r="BE32" s="29">
        <v>0</v>
      </c>
    </row>
    <row r="33" spans="1:57" hidden="1" outlineLevel="1" x14ac:dyDescent="0.3">
      <c r="A33" s="3"/>
      <c r="B33" s="4">
        <v>16</v>
      </c>
      <c r="C33" s="4">
        <v>16</v>
      </c>
      <c r="D33" s="3" t="s">
        <v>217</v>
      </c>
      <c r="E33" s="13"/>
      <c r="F33" s="14"/>
      <c r="G33" s="14"/>
      <c r="H33" s="14"/>
      <c r="I33" s="14"/>
      <c r="J33" s="14"/>
      <c r="K33" s="18">
        <v>0</v>
      </c>
      <c r="L33" s="14"/>
      <c r="M33" s="18">
        <v>1</v>
      </c>
      <c r="N33" s="14"/>
      <c r="O33" s="18">
        <v>0</v>
      </c>
      <c r="P33" s="14"/>
      <c r="Q33" s="18">
        <v>1</v>
      </c>
      <c r="R33" s="13"/>
      <c r="S33" s="13"/>
      <c r="T33" s="13"/>
      <c r="U33" s="39">
        <v>1</v>
      </c>
      <c r="V33" s="13"/>
      <c r="W33" s="39">
        <v>1</v>
      </c>
      <c r="X33" s="13"/>
      <c r="Y33" s="39">
        <v>1</v>
      </c>
      <c r="Z33" s="13"/>
      <c r="AA33" s="39">
        <v>1</v>
      </c>
      <c r="AB33" s="13"/>
      <c r="AC33" s="13"/>
      <c r="AD33" s="13"/>
      <c r="AE33" s="39">
        <v>1</v>
      </c>
      <c r="AF33" s="13"/>
      <c r="AG33" s="39">
        <v>1</v>
      </c>
      <c r="AH33" s="13"/>
      <c r="AI33" s="13"/>
      <c r="AJ33" s="13"/>
      <c r="AK33" s="39">
        <v>0</v>
      </c>
      <c r="AL33" s="7"/>
      <c r="AM33" s="39">
        <v>0</v>
      </c>
      <c r="AN33" s="13"/>
      <c r="AO33" s="13"/>
      <c r="AP33" s="13"/>
      <c r="AQ33" s="13"/>
      <c r="AR33" s="39">
        <v>0</v>
      </c>
      <c r="AS33" s="39">
        <v>0</v>
      </c>
      <c r="AT33" s="39">
        <v>0</v>
      </c>
      <c r="AU33" s="39">
        <v>0</v>
      </c>
      <c r="AV33" s="13"/>
      <c r="AW33" s="29">
        <v>0</v>
      </c>
      <c r="AX33" s="21"/>
      <c r="AY33" s="13"/>
      <c r="AZ33" s="13"/>
      <c r="BA33" s="13"/>
      <c r="BB33" s="13"/>
      <c r="BC33" s="13"/>
      <c r="BE33" s="29">
        <v>0</v>
      </c>
    </row>
    <row r="34" spans="1:57" hidden="1" outlineLevel="1" x14ac:dyDescent="0.3">
      <c r="A34" s="3"/>
      <c r="B34" s="4">
        <v>15</v>
      </c>
      <c r="C34" s="4">
        <v>12</v>
      </c>
      <c r="D34" s="3" t="s">
        <v>218</v>
      </c>
      <c r="E34" s="13"/>
      <c r="F34" s="14"/>
      <c r="G34" s="14"/>
      <c r="H34" s="14"/>
      <c r="I34" s="14"/>
      <c r="J34" s="14"/>
      <c r="K34" s="18">
        <v>8</v>
      </c>
      <c r="L34" s="14"/>
      <c r="M34" s="18">
        <v>8</v>
      </c>
      <c r="N34" s="14"/>
      <c r="O34" s="18">
        <v>6</v>
      </c>
      <c r="P34" s="14"/>
      <c r="Q34" s="18">
        <v>5</v>
      </c>
      <c r="R34" s="13"/>
      <c r="S34" s="13"/>
      <c r="T34" s="13"/>
      <c r="U34" s="39">
        <v>5</v>
      </c>
      <c r="V34" s="13"/>
      <c r="W34" s="39">
        <v>7</v>
      </c>
      <c r="X34" s="13"/>
      <c r="Y34" s="39">
        <v>3</v>
      </c>
      <c r="Z34" s="13"/>
      <c r="AA34" s="39">
        <v>5</v>
      </c>
      <c r="AB34" s="13"/>
      <c r="AC34" s="13"/>
      <c r="AD34" s="13"/>
      <c r="AE34" s="39">
        <v>3</v>
      </c>
      <c r="AF34" s="13"/>
      <c r="AG34" s="39">
        <v>2</v>
      </c>
      <c r="AH34" s="13"/>
      <c r="AI34" s="13"/>
      <c r="AJ34" s="13"/>
      <c r="AK34" s="39">
        <v>4</v>
      </c>
      <c r="AL34" s="7"/>
      <c r="AM34" s="39">
        <v>4</v>
      </c>
      <c r="AN34" s="13"/>
      <c r="AO34" s="13"/>
      <c r="AP34" s="13"/>
      <c r="AQ34" s="13"/>
      <c r="AR34" s="39" t="s">
        <v>117</v>
      </c>
      <c r="AS34" s="39">
        <v>7</v>
      </c>
      <c r="AT34" s="39">
        <v>8</v>
      </c>
      <c r="AU34" s="39">
        <v>7</v>
      </c>
      <c r="AV34" s="13"/>
      <c r="AW34" s="29" t="s">
        <v>311</v>
      </c>
      <c r="AX34" s="21"/>
      <c r="AY34" s="13"/>
      <c r="AZ34" s="13"/>
      <c r="BA34" s="13"/>
      <c r="BB34" s="13"/>
      <c r="BC34" s="13"/>
      <c r="BE34" s="29">
        <v>0</v>
      </c>
    </row>
    <row r="35" spans="1:57" hidden="1" outlineLevel="1" x14ac:dyDescent="0.3">
      <c r="A35" s="3"/>
      <c r="B35" s="4">
        <v>11</v>
      </c>
      <c r="C35" s="4">
        <v>8</v>
      </c>
      <c r="D35" s="3" t="s">
        <v>219</v>
      </c>
      <c r="E35" s="13"/>
      <c r="F35" s="14"/>
      <c r="G35" s="14"/>
      <c r="H35" s="14"/>
      <c r="I35" s="14"/>
      <c r="J35" s="14"/>
      <c r="K35" s="18">
        <v>6</v>
      </c>
      <c r="L35" s="14"/>
      <c r="M35" s="18" t="s">
        <v>305</v>
      </c>
      <c r="N35" s="14"/>
      <c r="O35" s="18" t="s">
        <v>333</v>
      </c>
      <c r="P35" s="14"/>
      <c r="Q35" s="18">
        <v>8</v>
      </c>
      <c r="R35" s="13"/>
      <c r="S35" s="13"/>
      <c r="T35" s="13"/>
      <c r="U35" s="39">
        <v>6</v>
      </c>
      <c r="V35" s="13"/>
      <c r="W35" s="39" t="s">
        <v>333</v>
      </c>
      <c r="X35" s="13"/>
      <c r="Y35" s="39">
        <v>7</v>
      </c>
      <c r="Z35" s="13"/>
      <c r="AA35" s="39">
        <v>8</v>
      </c>
      <c r="AB35" s="13"/>
      <c r="AC35" s="13"/>
      <c r="AD35" s="13"/>
      <c r="AE35" s="39">
        <v>7</v>
      </c>
      <c r="AF35" s="13"/>
      <c r="AG35" s="39">
        <v>6</v>
      </c>
      <c r="AH35" s="13"/>
      <c r="AI35" s="13"/>
      <c r="AJ35" s="13"/>
      <c r="AK35" s="39">
        <v>0</v>
      </c>
      <c r="AL35" s="7"/>
      <c r="AM35" s="39">
        <v>0</v>
      </c>
      <c r="AN35" s="13"/>
      <c r="AO35" s="13"/>
      <c r="AP35" s="13"/>
      <c r="AQ35" s="13"/>
      <c r="AR35" s="39">
        <v>0</v>
      </c>
      <c r="AS35" s="39">
        <v>0</v>
      </c>
      <c r="AT35" s="39">
        <v>0</v>
      </c>
      <c r="AU35" s="39">
        <v>0</v>
      </c>
      <c r="AV35" s="13"/>
      <c r="AW35" s="29" t="s">
        <v>311</v>
      </c>
      <c r="AX35" s="21"/>
      <c r="AY35" s="13"/>
      <c r="AZ35" s="13"/>
      <c r="BA35" s="13"/>
      <c r="BB35" s="13"/>
      <c r="BC35" s="13"/>
      <c r="BE35" s="29">
        <v>0</v>
      </c>
    </row>
    <row r="36" spans="1:57" hidden="1" outlineLevel="1" x14ac:dyDescent="0.3">
      <c r="A36" s="3"/>
      <c r="B36" s="4">
        <v>7</v>
      </c>
      <c r="C36" s="4">
        <v>7</v>
      </c>
      <c r="D36" s="3" t="s">
        <v>220</v>
      </c>
      <c r="E36" s="13"/>
      <c r="F36" s="14"/>
      <c r="G36" s="14"/>
      <c r="H36" s="14"/>
      <c r="I36" s="14"/>
      <c r="J36" s="14"/>
      <c r="K36" s="18">
        <v>1</v>
      </c>
      <c r="L36" s="14"/>
      <c r="M36" s="15">
        <v>0</v>
      </c>
      <c r="N36" s="14"/>
      <c r="O36" s="15">
        <v>0</v>
      </c>
      <c r="P36" s="14"/>
      <c r="Q36" s="15">
        <v>0</v>
      </c>
      <c r="R36" s="13"/>
      <c r="S36" s="13"/>
      <c r="T36" s="13"/>
      <c r="U36" s="19">
        <v>0</v>
      </c>
      <c r="V36" s="13"/>
      <c r="W36" s="19">
        <v>0</v>
      </c>
      <c r="X36" s="13"/>
      <c r="Y36" s="19">
        <v>0</v>
      </c>
      <c r="Z36" s="13"/>
      <c r="AA36" s="19">
        <v>0</v>
      </c>
      <c r="AB36" s="13"/>
      <c r="AC36" s="13"/>
      <c r="AD36" s="13"/>
      <c r="AE36" s="19">
        <v>0</v>
      </c>
      <c r="AF36" s="13"/>
      <c r="AG36" s="19">
        <v>0</v>
      </c>
      <c r="AH36" s="13"/>
      <c r="AI36" s="13"/>
      <c r="AJ36" s="13"/>
      <c r="AK36" s="39">
        <v>0</v>
      </c>
      <c r="AL36" s="7"/>
      <c r="AM36" s="39">
        <v>0</v>
      </c>
      <c r="AN36" s="13"/>
      <c r="AO36" s="13"/>
      <c r="AP36" s="13"/>
      <c r="AQ36" s="13"/>
      <c r="AR36" s="39">
        <v>1</v>
      </c>
      <c r="AS36" s="39">
        <v>1</v>
      </c>
      <c r="AT36" s="39">
        <v>1</v>
      </c>
      <c r="AU36" s="39">
        <v>1</v>
      </c>
      <c r="AV36" s="13"/>
      <c r="AW36" s="29">
        <v>0</v>
      </c>
      <c r="AX36" s="21"/>
      <c r="AY36" s="13"/>
      <c r="AZ36" s="13"/>
      <c r="BA36" s="13"/>
      <c r="BB36" s="13"/>
      <c r="BC36" s="13"/>
      <c r="BE36" s="29">
        <v>0</v>
      </c>
    </row>
    <row r="37" spans="1:57" hidden="1" outlineLevel="1" x14ac:dyDescent="0.3">
      <c r="A37" s="3"/>
      <c r="B37" s="4">
        <v>6</v>
      </c>
      <c r="C37" s="4">
        <v>5</v>
      </c>
      <c r="D37" s="3" t="s">
        <v>221</v>
      </c>
      <c r="E37" s="13"/>
      <c r="F37" s="14"/>
      <c r="G37" s="14"/>
      <c r="H37" s="14"/>
      <c r="I37" s="14"/>
      <c r="J37" s="14"/>
      <c r="K37" s="18">
        <v>2</v>
      </c>
      <c r="L37" s="14"/>
      <c r="M37" s="15">
        <v>0</v>
      </c>
      <c r="N37" s="14"/>
      <c r="O37" s="15">
        <v>0</v>
      </c>
      <c r="P37" s="14"/>
      <c r="Q37" s="15">
        <v>0</v>
      </c>
      <c r="R37" s="13"/>
      <c r="S37" s="13"/>
      <c r="T37" s="13"/>
      <c r="U37" s="19">
        <v>0</v>
      </c>
      <c r="V37" s="13"/>
      <c r="W37" s="19">
        <v>0</v>
      </c>
      <c r="X37" s="13"/>
      <c r="Y37" s="19">
        <v>0</v>
      </c>
      <c r="Z37" s="13"/>
      <c r="AA37" s="19">
        <v>0</v>
      </c>
      <c r="AB37" s="13"/>
      <c r="AC37" s="13"/>
      <c r="AD37" s="13"/>
      <c r="AE37" s="19">
        <v>0</v>
      </c>
      <c r="AF37" s="13"/>
      <c r="AG37" s="19">
        <v>0</v>
      </c>
      <c r="AH37" s="13"/>
      <c r="AI37" s="13"/>
      <c r="AJ37" s="13"/>
      <c r="AK37" s="39">
        <v>0</v>
      </c>
      <c r="AL37" s="7"/>
      <c r="AM37" s="39">
        <v>0</v>
      </c>
      <c r="AN37" s="13"/>
      <c r="AO37" s="13"/>
      <c r="AP37" s="13"/>
      <c r="AQ37" s="13"/>
      <c r="AR37" s="39">
        <v>0</v>
      </c>
      <c r="AS37" s="39">
        <v>0</v>
      </c>
      <c r="AT37" s="39">
        <v>0</v>
      </c>
      <c r="AU37" s="39">
        <v>0</v>
      </c>
      <c r="AV37" s="13"/>
      <c r="AW37" s="29">
        <v>0</v>
      </c>
      <c r="AX37" s="21"/>
      <c r="AY37" s="13"/>
      <c r="AZ37" s="13"/>
      <c r="BA37" s="13"/>
      <c r="BB37" s="13"/>
      <c r="BC37" s="13"/>
      <c r="BE37" s="29">
        <v>0</v>
      </c>
    </row>
    <row r="38" spans="1:57" hidden="1" outlineLevel="1" x14ac:dyDescent="0.3">
      <c r="A38" s="3"/>
      <c r="B38" s="4">
        <v>4</v>
      </c>
      <c r="C38" s="4">
        <v>4</v>
      </c>
      <c r="D38" s="3" t="s">
        <v>222</v>
      </c>
      <c r="E38" s="13"/>
      <c r="F38" s="14"/>
      <c r="G38" s="14"/>
      <c r="H38" s="14"/>
      <c r="I38" s="14"/>
      <c r="J38" s="14"/>
      <c r="K38" s="18">
        <v>1</v>
      </c>
      <c r="L38" s="14"/>
      <c r="M38" s="18">
        <v>0</v>
      </c>
      <c r="N38" s="14"/>
      <c r="O38" s="18">
        <v>0</v>
      </c>
      <c r="P38" s="14"/>
      <c r="Q38" s="18">
        <v>0</v>
      </c>
      <c r="R38" s="13"/>
      <c r="S38" s="13"/>
      <c r="T38" s="13"/>
      <c r="U38" s="39">
        <v>1</v>
      </c>
      <c r="V38" s="13"/>
      <c r="W38" s="39">
        <v>0</v>
      </c>
      <c r="X38" s="13"/>
      <c r="Y38" s="39">
        <v>1</v>
      </c>
      <c r="Z38" s="13"/>
      <c r="AA38" s="39">
        <v>0</v>
      </c>
      <c r="AB38" s="13"/>
      <c r="AC38" s="13"/>
      <c r="AD38" s="13"/>
      <c r="AE38" s="39">
        <v>0</v>
      </c>
      <c r="AF38" s="13"/>
      <c r="AG38" s="39">
        <v>0</v>
      </c>
      <c r="AH38" s="13"/>
      <c r="AI38" s="13"/>
      <c r="AJ38" s="13"/>
      <c r="AK38" s="39">
        <v>1</v>
      </c>
      <c r="AL38" s="7"/>
      <c r="AM38" s="39">
        <v>1</v>
      </c>
      <c r="AN38" s="13"/>
      <c r="AO38" s="13"/>
      <c r="AP38" s="13"/>
      <c r="AQ38" s="13"/>
      <c r="AR38" s="39">
        <v>1</v>
      </c>
      <c r="AS38" s="39">
        <v>1</v>
      </c>
      <c r="AT38" s="39">
        <v>1</v>
      </c>
      <c r="AU38" s="39">
        <v>1</v>
      </c>
      <c r="AV38" s="13"/>
      <c r="AW38" s="29">
        <v>0</v>
      </c>
      <c r="AX38" s="21"/>
      <c r="AY38" s="13"/>
      <c r="AZ38" s="13"/>
      <c r="BA38" s="13"/>
      <c r="BB38" s="13"/>
      <c r="BC38" s="13"/>
      <c r="BE38" s="29">
        <v>0</v>
      </c>
    </row>
    <row r="39" spans="1:57" hidden="1" outlineLevel="1" x14ac:dyDescent="0.3">
      <c r="A39" s="3"/>
      <c r="B39" s="4">
        <v>3</v>
      </c>
      <c r="C39" s="4">
        <v>3</v>
      </c>
      <c r="D39" s="3" t="s">
        <v>223</v>
      </c>
      <c r="E39" s="13"/>
      <c r="F39" s="14"/>
      <c r="G39" s="14"/>
      <c r="H39" s="14"/>
      <c r="I39" s="14"/>
      <c r="J39" s="14"/>
      <c r="K39" s="18">
        <v>1</v>
      </c>
      <c r="L39" s="14"/>
      <c r="M39" s="18">
        <v>0</v>
      </c>
      <c r="N39" s="14"/>
      <c r="O39" s="18">
        <v>0</v>
      </c>
      <c r="P39" s="14"/>
      <c r="Q39" s="18">
        <v>0</v>
      </c>
      <c r="R39" s="13"/>
      <c r="S39" s="13"/>
      <c r="T39" s="13"/>
      <c r="U39" s="39">
        <v>0</v>
      </c>
      <c r="V39" s="13"/>
      <c r="W39" s="39">
        <v>0</v>
      </c>
      <c r="X39" s="13"/>
      <c r="Y39" s="39">
        <v>0</v>
      </c>
      <c r="Z39" s="13"/>
      <c r="AA39" s="39">
        <v>0</v>
      </c>
      <c r="AB39" s="13"/>
      <c r="AC39" s="13"/>
      <c r="AD39" s="13"/>
      <c r="AE39" s="39">
        <v>0</v>
      </c>
      <c r="AF39" s="13"/>
      <c r="AG39" s="39">
        <v>0</v>
      </c>
      <c r="AH39" s="13"/>
      <c r="AI39" s="13"/>
      <c r="AJ39" s="13"/>
      <c r="AK39" s="39">
        <v>0</v>
      </c>
      <c r="AL39" s="7"/>
      <c r="AM39" s="39">
        <v>0</v>
      </c>
      <c r="AN39" s="13"/>
      <c r="AO39" s="13"/>
      <c r="AP39" s="13"/>
      <c r="AQ39" s="13"/>
      <c r="AR39" s="39">
        <v>0</v>
      </c>
      <c r="AS39" s="39">
        <v>0</v>
      </c>
      <c r="AT39" s="39">
        <v>0</v>
      </c>
      <c r="AU39" s="39">
        <v>0</v>
      </c>
      <c r="AV39" s="13"/>
      <c r="AW39" s="29">
        <v>0</v>
      </c>
      <c r="AX39" s="21"/>
      <c r="AY39" s="13"/>
      <c r="AZ39" s="13"/>
      <c r="BA39" s="13"/>
      <c r="BB39" s="13"/>
      <c r="BC39" s="13"/>
      <c r="BE39" s="29">
        <v>0</v>
      </c>
    </row>
    <row r="40" spans="1:57" hidden="1" outlineLevel="1" x14ac:dyDescent="0.3">
      <c r="A40" s="3"/>
      <c r="B40" s="4">
        <v>2</v>
      </c>
      <c r="C40" s="4">
        <v>2</v>
      </c>
      <c r="D40" s="3" t="s">
        <v>224</v>
      </c>
      <c r="E40" s="13"/>
      <c r="F40" s="14"/>
      <c r="G40" s="14"/>
      <c r="H40" s="14"/>
      <c r="I40" s="14"/>
      <c r="J40" s="14"/>
      <c r="K40" s="15">
        <v>1</v>
      </c>
      <c r="L40" s="14"/>
      <c r="M40" s="15">
        <v>1</v>
      </c>
      <c r="N40" s="14"/>
      <c r="O40" s="15">
        <v>1</v>
      </c>
      <c r="P40" s="14"/>
      <c r="Q40" s="15">
        <v>1</v>
      </c>
      <c r="R40" s="13"/>
      <c r="S40" s="13"/>
      <c r="T40" s="13"/>
      <c r="U40" s="19">
        <v>1</v>
      </c>
      <c r="V40" s="13"/>
      <c r="W40" s="19">
        <v>1</v>
      </c>
      <c r="X40" s="13"/>
      <c r="Y40" s="19">
        <v>1</v>
      </c>
      <c r="Z40" s="13"/>
      <c r="AA40" s="19">
        <v>1</v>
      </c>
      <c r="AB40" s="13"/>
      <c r="AC40" s="13"/>
      <c r="AD40" s="13"/>
      <c r="AE40" s="19">
        <v>1</v>
      </c>
      <c r="AF40" s="13"/>
      <c r="AG40" s="19">
        <v>1</v>
      </c>
      <c r="AH40" s="13"/>
      <c r="AI40" s="40"/>
      <c r="AJ40" s="13"/>
      <c r="AK40" s="19">
        <v>0</v>
      </c>
      <c r="AL40" s="7"/>
      <c r="AM40" s="19">
        <v>0</v>
      </c>
      <c r="AN40" s="13"/>
      <c r="AO40" s="13"/>
      <c r="AP40" s="13"/>
      <c r="AQ40" s="13"/>
      <c r="AR40" s="39">
        <v>1</v>
      </c>
      <c r="AS40" s="39">
        <v>1</v>
      </c>
      <c r="AT40" s="39">
        <v>1</v>
      </c>
      <c r="AU40" s="39">
        <v>1</v>
      </c>
      <c r="AV40" s="13"/>
      <c r="AW40" s="29">
        <v>1</v>
      </c>
      <c r="AX40" s="21"/>
      <c r="AY40" s="13"/>
      <c r="AZ40" s="13"/>
      <c r="BA40" s="13"/>
      <c r="BB40" s="13"/>
      <c r="BC40" s="13"/>
      <c r="BE40" s="29">
        <v>0</v>
      </c>
    </row>
    <row r="41" spans="1:57" hidden="1" outlineLevel="1" x14ac:dyDescent="0.3">
      <c r="A41" s="3"/>
      <c r="B41" s="4">
        <v>1</v>
      </c>
      <c r="C41" s="4">
        <v>1</v>
      </c>
      <c r="D41" s="3" t="s">
        <v>225</v>
      </c>
      <c r="E41" s="13"/>
      <c r="F41" s="14"/>
      <c r="G41" s="14"/>
      <c r="H41" s="14"/>
      <c r="I41" s="14"/>
      <c r="J41" s="14"/>
      <c r="K41" s="15">
        <v>0</v>
      </c>
      <c r="L41" s="14"/>
      <c r="M41" s="15">
        <v>0</v>
      </c>
      <c r="N41" s="14"/>
      <c r="O41" s="15">
        <v>0</v>
      </c>
      <c r="P41" s="14"/>
      <c r="Q41" s="15">
        <v>0</v>
      </c>
      <c r="R41" s="13"/>
      <c r="S41" s="13"/>
      <c r="T41" s="13"/>
      <c r="U41" s="19">
        <v>0</v>
      </c>
      <c r="V41" s="13"/>
      <c r="W41" s="19">
        <v>0</v>
      </c>
      <c r="X41" s="13"/>
      <c r="Y41" s="19">
        <v>0</v>
      </c>
      <c r="Z41" s="13"/>
      <c r="AA41" s="19">
        <v>0</v>
      </c>
      <c r="AB41" s="13"/>
      <c r="AC41" s="13"/>
      <c r="AD41" s="13"/>
      <c r="AE41" s="19">
        <v>0</v>
      </c>
      <c r="AF41" s="13"/>
      <c r="AG41" s="19">
        <v>0</v>
      </c>
      <c r="AH41" s="13"/>
      <c r="AI41" s="40"/>
      <c r="AJ41" s="13"/>
      <c r="AK41" s="19">
        <v>0</v>
      </c>
      <c r="AL41" s="7"/>
      <c r="AM41" s="19">
        <v>0</v>
      </c>
      <c r="AN41" s="13"/>
      <c r="AO41" s="40"/>
      <c r="AP41" s="40"/>
      <c r="AQ41" s="40"/>
      <c r="AR41" s="19">
        <v>0</v>
      </c>
      <c r="AS41" s="19">
        <v>0</v>
      </c>
      <c r="AT41" s="19">
        <v>0</v>
      </c>
      <c r="AU41" s="19">
        <v>0</v>
      </c>
      <c r="AV41" s="40"/>
      <c r="AW41" s="29">
        <v>0</v>
      </c>
      <c r="AX41" s="21"/>
      <c r="AY41" s="13"/>
      <c r="AZ41" s="13"/>
      <c r="BA41" s="13"/>
      <c r="BB41" s="13"/>
      <c r="BC41" s="13"/>
      <c r="BE41" s="29">
        <v>0</v>
      </c>
    </row>
    <row r="42" spans="1:57" hidden="1" outlineLevel="1" x14ac:dyDescent="0.3">
      <c r="A42" s="3"/>
      <c r="B42" s="4">
        <v>0</v>
      </c>
      <c r="C42" s="4">
        <v>0</v>
      </c>
      <c r="D42" s="3" t="s">
        <v>226</v>
      </c>
      <c r="E42" s="13"/>
      <c r="F42" s="14"/>
      <c r="G42" s="14"/>
      <c r="H42" s="14"/>
      <c r="I42" s="14"/>
      <c r="J42" s="14"/>
      <c r="K42" s="15">
        <v>0</v>
      </c>
      <c r="L42" s="14"/>
      <c r="M42" s="15">
        <v>1</v>
      </c>
      <c r="N42" s="14"/>
      <c r="O42" s="15">
        <v>1</v>
      </c>
      <c r="P42" s="14"/>
      <c r="Q42" s="15">
        <v>1</v>
      </c>
      <c r="R42" s="13"/>
      <c r="S42" s="13"/>
      <c r="T42" s="13"/>
      <c r="U42" s="19">
        <v>1</v>
      </c>
      <c r="V42" s="13"/>
      <c r="W42" s="19">
        <v>1</v>
      </c>
      <c r="X42" s="13"/>
      <c r="Y42" s="19">
        <v>1</v>
      </c>
      <c r="Z42" s="13"/>
      <c r="AA42" s="19">
        <v>1</v>
      </c>
      <c r="AB42" s="13"/>
      <c r="AC42" s="13"/>
      <c r="AD42" s="13"/>
      <c r="AE42" s="19">
        <v>1</v>
      </c>
      <c r="AF42" s="13"/>
      <c r="AG42" s="19">
        <v>1</v>
      </c>
      <c r="AH42" s="13"/>
      <c r="AI42" s="40"/>
      <c r="AJ42" s="13"/>
      <c r="AK42" s="19">
        <v>0</v>
      </c>
      <c r="AL42" s="7"/>
      <c r="AM42" s="19">
        <v>0</v>
      </c>
      <c r="AN42" s="13"/>
      <c r="AO42" s="40"/>
      <c r="AP42" s="40"/>
      <c r="AQ42" s="40"/>
      <c r="AR42" s="19">
        <v>0</v>
      </c>
      <c r="AS42" s="19">
        <v>0</v>
      </c>
      <c r="AT42" s="19">
        <v>0</v>
      </c>
      <c r="AU42" s="19">
        <v>0</v>
      </c>
      <c r="AV42" s="40"/>
      <c r="AW42" s="29">
        <v>1</v>
      </c>
      <c r="AX42" s="21"/>
      <c r="AY42" s="13"/>
      <c r="AZ42" s="13"/>
      <c r="BA42" s="13"/>
      <c r="BB42" s="13"/>
      <c r="BC42" s="13"/>
      <c r="BE42" s="29">
        <v>0</v>
      </c>
    </row>
    <row r="43" spans="1:57" collapsed="1" x14ac:dyDescent="0.3">
      <c r="A43" s="1" t="s">
        <v>28</v>
      </c>
      <c r="B43" s="2"/>
      <c r="C43" s="2"/>
      <c r="D43" s="1"/>
      <c r="E43" s="13"/>
      <c r="F43" s="14"/>
      <c r="G43" s="16"/>
      <c r="H43" s="14"/>
      <c r="I43" s="14"/>
      <c r="J43" s="14"/>
      <c r="K43" s="20" t="str">
        <f>BitsTo32Bit(K44:K59)</f>
        <v>03E40104</v>
      </c>
      <c r="L43" s="14"/>
      <c r="M43" s="20" t="str">
        <f>BitsTo32Bit(M44:M59)</f>
        <v>03E10A04</v>
      </c>
      <c r="N43" s="14"/>
      <c r="O43" s="20" t="str">
        <f>BitsTo32Bit(O44:O59)</f>
        <v>03E10A04</v>
      </c>
      <c r="P43" s="14"/>
      <c r="Q43" s="20" t="str">
        <f>BitsTo32Bit(Q44:Q59)</f>
        <v>03E10A04</v>
      </c>
      <c r="R43" s="13"/>
      <c r="S43" s="17" t="str">
        <f>BitsTo32Bit(S44:S59)</f>
        <v>03E10A04</v>
      </c>
      <c r="T43" s="13"/>
      <c r="U43" s="13"/>
      <c r="V43" s="13"/>
      <c r="W43" s="13"/>
      <c r="X43" s="13"/>
      <c r="Y43" s="13"/>
      <c r="Z43" s="13"/>
      <c r="AA43" s="13"/>
      <c r="AB43" s="13"/>
      <c r="AC43" s="17" t="str">
        <f>BitsTo32Bit(AC44:AC59)</f>
        <v>03E10A04</v>
      </c>
      <c r="AD43" s="13"/>
      <c r="AE43" s="13"/>
      <c r="AF43" s="13"/>
      <c r="AG43" s="13"/>
      <c r="AH43" s="13"/>
      <c r="AI43" s="17" t="str">
        <f>BitsTo32Bit(AI44:AI59)</f>
        <v>03E40104</v>
      </c>
      <c r="AJ43" s="13"/>
      <c r="AK43" s="13"/>
      <c r="AL43" s="7"/>
      <c r="AM43" s="13"/>
      <c r="AN43" s="13"/>
      <c r="AO43" s="32" t="str">
        <f>BitsTo32Bit(AO44:AO59)</f>
        <v>03E40A04</v>
      </c>
      <c r="AP43" s="22"/>
      <c r="AQ43" s="22"/>
      <c r="AR43" s="22"/>
      <c r="AS43" s="22"/>
      <c r="AT43" s="22"/>
      <c r="AU43" s="22"/>
      <c r="AV43" s="22"/>
      <c r="AW43" s="16"/>
      <c r="AX43" s="16"/>
      <c r="AY43" s="17" t="str">
        <f>BitsTo32Bit(AY44:AY59)</f>
        <v>0207FF6</v>
      </c>
      <c r="AZ43" s="13"/>
      <c r="BA43" s="17" t="str">
        <f>BitsTo32Bit(BA44:BA59)</f>
        <v>0207FF6</v>
      </c>
      <c r="BB43" s="13"/>
      <c r="BC43" s="17" t="str">
        <f>BitsTo32Bit(BC44:BC59)</f>
        <v>0207FF6</v>
      </c>
      <c r="BE43" s="17" t="str">
        <f>BitsTo32Bit(BE44:BE59)</f>
        <v>010107FF7</v>
      </c>
    </row>
    <row r="44" spans="1:57" hidden="1" outlineLevel="1" x14ac:dyDescent="0.3">
      <c r="A44" s="1"/>
      <c r="B44" s="2">
        <v>31</v>
      </c>
      <c r="C44" s="2">
        <v>31</v>
      </c>
      <c r="D44" s="1" t="s">
        <v>1</v>
      </c>
      <c r="E44" s="13"/>
      <c r="F44" s="14"/>
      <c r="G44" s="16"/>
      <c r="H44" s="14"/>
      <c r="I44" s="14"/>
      <c r="J44" s="14"/>
      <c r="K44" s="15">
        <v>0</v>
      </c>
      <c r="L44" s="14"/>
      <c r="M44" s="15">
        <v>0</v>
      </c>
      <c r="N44" s="14"/>
      <c r="O44" s="15">
        <v>0</v>
      </c>
      <c r="P44" s="14"/>
      <c r="Q44" s="15">
        <v>0</v>
      </c>
      <c r="R44" s="13"/>
      <c r="S44" s="15">
        <v>0</v>
      </c>
      <c r="T44" s="13"/>
      <c r="U44" s="13"/>
      <c r="V44" s="13"/>
      <c r="W44" s="13"/>
      <c r="X44" s="13"/>
      <c r="Y44" s="13"/>
      <c r="Z44" s="13"/>
      <c r="AA44" s="13"/>
      <c r="AB44" s="13"/>
      <c r="AC44" s="15">
        <v>0</v>
      </c>
      <c r="AD44" s="13"/>
      <c r="AE44" s="13"/>
      <c r="AF44" s="13"/>
      <c r="AG44" s="13"/>
      <c r="AH44" s="13"/>
      <c r="AI44" s="15">
        <v>0</v>
      </c>
      <c r="AJ44" s="13"/>
      <c r="AK44" s="13"/>
      <c r="AL44" s="7"/>
      <c r="AM44" s="13"/>
      <c r="AN44" s="13"/>
      <c r="AO44" s="23">
        <v>0</v>
      </c>
      <c r="AP44" s="22"/>
      <c r="AQ44" s="22"/>
      <c r="AR44" s="22"/>
      <c r="AS44" s="22"/>
      <c r="AT44" s="22"/>
      <c r="AU44" s="22"/>
      <c r="AV44" s="22"/>
      <c r="AW44" s="16"/>
      <c r="AX44" s="16"/>
      <c r="AY44" s="15">
        <v>0</v>
      </c>
      <c r="AZ44" s="13"/>
      <c r="BA44" s="15">
        <v>0</v>
      </c>
      <c r="BB44" s="13"/>
      <c r="BC44" s="15">
        <v>0</v>
      </c>
      <c r="BE44" s="15">
        <v>0</v>
      </c>
    </row>
    <row r="45" spans="1:57" hidden="1" outlineLevel="1" x14ac:dyDescent="0.3">
      <c r="A45" s="1"/>
      <c r="B45" s="2">
        <v>30</v>
      </c>
      <c r="C45" s="2">
        <v>29</v>
      </c>
      <c r="D45" s="1" t="s">
        <v>29</v>
      </c>
      <c r="E45" s="13"/>
      <c r="F45" s="14"/>
      <c r="G45" s="36"/>
      <c r="H45" s="14"/>
      <c r="I45" s="14"/>
      <c r="J45" s="14"/>
      <c r="K45" s="15">
        <v>0</v>
      </c>
      <c r="L45" s="14"/>
      <c r="M45" s="15">
        <v>0</v>
      </c>
      <c r="N45" s="14"/>
      <c r="O45" s="15">
        <v>0</v>
      </c>
      <c r="P45" s="14"/>
      <c r="Q45" s="15">
        <v>0</v>
      </c>
      <c r="R45" s="13"/>
      <c r="S45" s="37">
        <v>0</v>
      </c>
      <c r="T45" s="13"/>
      <c r="U45" s="13"/>
      <c r="V45" s="13"/>
      <c r="W45" s="13"/>
      <c r="X45" s="13"/>
      <c r="Y45" s="13"/>
      <c r="Z45" s="13"/>
      <c r="AA45" s="13"/>
      <c r="AB45" s="13"/>
      <c r="AC45" s="37">
        <v>0</v>
      </c>
      <c r="AD45" s="13"/>
      <c r="AE45" s="13"/>
      <c r="AF45" s="13"/>
      <c r="AG45" s="13"/>
      <c r="AH45" s="13"/>
      <c r="AI45" s="37">
        <v>0</v>
      </c>
      <c r="AJ45" s="13"/>
      <c r="AK45" s="13"/>
      <c r="AL45" s="7"/>
      <c r="AM45" s="13"/>
      <c r="AN45" s="13"/>
      <c r="AO45" s="23">
        <v>0</v>
      </c>
      <c r="AP45" s="22"/>
      <c r="AQ45" s="22"/>
      <c r="AR45" s="22"/>
      <c r="AS45" s="22"/>
      <c r="AT45" s="22"/>
      <c r="AU45" s="22"/>
      <c r="AV45" s="22"/>
      <c r="AW45" s="36"/>
      <c r="AX45" s="36"/>
      <c r="AY45" s="37">
        <v>0</v>
      </c>
      <c r="AZ45" s="13"/>
      <c r="BA45" s="37">
        <v>0</v>
      </c>
      <c r="BB45" s="13"/>
      <c r="BC45" s="37">
        <v>0</v>
      </c>
      <c r="BE45" s="37">
        <v>0</v>
      </c>
    </row>
    <row r="46" spans="1:57" hidden="1" outlineLevel="1" x14ac:dyDescent="0.3">
      <c r="A46" s="1"/>
      <c r="B46" s="2">
        <v>28</v>
      </c>
      <c r="C46" s="2">
        <v>28</v>
      </c>
      <c r="D46" s="1" t="s">
        <v>30</v>
      </c>
      <c r="E46" s="13"/>
      <c r="F46" s="14"/>
      <c r="G46" s="41"/>
      <c r="H46" s="14"/>
      <c r="I46" s="14"/>
      <c r="J46" s="14"/>
      <c r="K46" s="15">
        <v>0</v>
      </c>
      <c r="L46" s="14"/>
      <c r="M46" s="15">
        <v>0</v>
      </c>
      <c r="N46" s="14"/>
      <c r="O46" s="15">
        <v>0</v>
      </c>
      <c r="P46" s="14"/>
      <c r="Q46" s="15">
        <v>0</v>
      </c>
      <c r="R46" s="13"/>
      <c r="S46" s="37">
        <v>0</v>
      </c>
      <c r="T46" s="13"/>
      <c r="U46" s="13"/>
      <c r="V46" s="13"/>
      <c r="W46" s="13"/>
      <c r="X46" s="13"/>
      <c r="Y46" s="13"/>
      <c r="Z46" s="13"/>
      <c r="AA46" s="13"/>
      <c r="AB46" s="13"/>
      <c r="AC46" s="37">
        <v>0</v>
      </c>
      <c r="AD46" s="13"/>
      <c r="AE46" s="13"/>
      <c r="AF46" s="13"/>
      <c r="AG46" s="13"/>
      <c r="AH46" s="13"/>
      <c r="AI46" s="37">
        <v>0</v>
      </c>
      <c r="AJ46" s="13"/>
      <c r="AK46" s="13"/>
      <c r="AL46" s="7"/>
      <c r="AM46" s="13"/>
      <c r="AN46" s="13"/>
      <c r="AO46" s="23">
        <v>0</v>
      </c>
      <c r="AP46" s="22"/>
      <c r="AQ46" s="22"/>
      <c r="AR46" s="22"/>
      <c r="AS46" s="22"/>
      <c r="AT46" s="22"/>
      <c r="AU46" s="22"/>
      <c r="AV46" s="22"/>
      <c r="AW46" s="36"/>
      <c r="AX46" s="36"/>
      <c r="AY46" s="37">
        <v>0</v>
      </c>
      <c r="AZ46" s="13"/>
      <c r="BA46" s="37">
        <v>0</v>
      </c>
      <c r="BB46" s="13"/>
      <c r="BC46" s="37">
        <v>0</v>
      </c>
      <c r="BE46" s="37">
        <v>1</v>
      </c>
    </row>
    <row r="47" spans="1:57" hidden="1" outlineLevel="1" x14ac:dyDescent="0.3">
      <c r="A47" s="1"/>
      <c r="B47" s="2">
        <v>27</v>
      </c>
      <c r="C47" s="2">
        <v>27</v>
      </c>
      <c r="D47" s="1" t="s">
        <v>31</v>
      </c>
      <c r="E47" s="13"/>
      <c r="F47" s="14"/>
      <c r="G47" s="41"/>
      <c r="H47" s="14"/>
      <c r="I47" s="14"/>
      <c r="J47" s="14"/>
      <c r="K47" s="15">
        <v>0</v>
      </c>
      <c r="L47" s="14"/>
      <c r="M47" s="15">
        <v>0</v>
      </c>
      <c r="N47" s="14"/>
      <c r="O47" s="15">
        <v>0</v>
      </c>
      <c r="P47" s="14"/>
      <c r="Q47" s="15">
        <v>0</v>
      </c>
      <c r="R47" s="13"/>
      <c r="S47" s="37">
        <v>0</v>
      </c>
      <c r="T47" s="13"/>
      <c r="U47" s="13"/>
      <c r="V47" s="13"/>
      <c r="W47" s="13"/>
      <c r="X47" s="13"/>
      <c r="Y47" s="13"/>
      <c r="Z47" s="13"/>
      <c r="AA47" s="13"/>
      <c r="AB47" s="13"/>
      <c r="AC47" s="37">
        <v>0</v>
      </c>
      <c r="AD47" s="13"/>
      <c r="AE47" s="13"/>
      <c r="AF47" s="13"/>
      <c r="AG47" s="13"/>
      <c r="AH47" s="13"/>
      <c r="AI47" s="37">
        <v>0</v>
      </c>
      <c r="AJ47" s="13"/>
      <c r="AK47" s="13"/>
      <c r="AL47" s="7"/>
      <c r="AM47" s="13"/>
      <c r="AN47" s="13"/>
      <c r="AO47" s="23">
        <v>0</v>
      </c>
      <c r="AP47" s="22"/>
      <c r="AQ47" s="22"/>
      <c r="AR47" s="22"/>
      <c r="AS47" s="22"/>
      <c r="AT47" s="22"/>
      <c r="AU47" s="22"/>
      <c r="AV47" s="22"/>
      <c r="AW47" s="36"/>
      <c r="AX47" s="36"/>
      <c r="AY47" s="37">
        <v>0</v>
      </c>
      <c r="AZ47" s="13"/>
      <c r="BA47" s="37">
        <v>0</v>
      </c>
      <c r="BB47" s="13"/>
      <c r="BC47" s="37">
        <v>0</v>
      </c>
      <c r="BE47" s="37">
        <v>0</v>
      </c>
    </row>
    <row r="48" spans="1:57" hidden="1" outlineLevel="1" x14ac:dyDescent="0.3">
      <c r="A48" s="1"/>
      <c r="B48" s="2">
        <v>26</v>
      </c>
      <c r="C48" s="2">
        <v>21</v>
      </c>
      <c r="D48" s="1" t="s">
        <v>32</v>
      </c>
      <c r="E48" s="13"/>
      <c r="F48" s="14"/>
      <c r="G48" s="41"/>
      <c r="H48" s="14"/>
      <c r="I48" s="14"/>
      <c r="J48" s="14"/>
      <c r="K48" s="18" t="s">
        <v>175</v>
      </c>
      <c r="L48" s="14"/>
      <c r="M48" s="18" t="s">
        <v>175</v>
      </c>
      <c r="N48" s="14"/>
      <c r="O48" s="18" t="s">
        <v>175</v>
      </c>
      <c r="P48" s="14"/>
      <c r="Q48" s="18" t="s">
        <v>175</v>
      </c>
      <c r="R48" s="13"/>
      <c r="S48" s="42" t="s">
        <v>175</v>
      </c>
      <c r="T48" s="13"/>
      <c r="U48" s="13"/>
      <c r="V48" s="13"/>
      <c r="W48" s="13"/>
      <c r="X48" s="13"/>
      <c r="Y48" s="13"/>
      <c r="Z48" s="13"/>
      <c r="AA48" s="13"/>
      <c r="AB48" s="13"/>
      <c r="AC48" s="42" t="s">
        <v>175</v>
      </c>
      <c r="AD48" s="13"/>
      <c r="AE48" s="13"/>
      <c r="AF48" s="13"/>
      <c r="AG48" s="13"/>
      <c r="AH48" s="13"/>
      <c r="AI48" s="42" t="s">
        <v>175</v>
      </c>
      <c r="AJ48" s="13"/>
      <c r="AK48" s="13"/>
      <c r="AL48" s="7"/>
      <c r="AM48" s="13"/>
      <c r="AN48" s="13"/>
      <c r="AO48" s="23" t="s">
        <v>175</v>
      </c>
      <c r="AP48" s="22"/>
      <c r="AQ48" s="22"/>
      <c r="AR48" s="22"/>
      <c r="AS48" s="22"/>
      <c r="AT48" s="22"/>
      <c r="AU48" s="22"/>
      <c r="AV48" s="22"/>
      <c r="AW48" s="41"/>
      <c r="AX48" s="41"/>
      <c r="AY48" s="42">
        <v>1</v>
      </c>
      <c r="AZ48" s="13"/>
      <c r="BA48" s="42">
        <v>1</v>
      </c>
      <c r="BB48" s="13"/>
      <c r="BC48" s="42">
        <v>1</v>
      </c>
      <c r="BE48" s="42">
        <v>0</v>
      </c>
    </row>
    <row r="49" spans="1:57" hidden="1" outlineLevel="1" x14ac:dyDescent="0.3">
      <c r="A49" s="1"/>
      <c r="B49" s="2">
        <v>20</v>
      </c>
      <c r="C49" s="2">
        <v>20</v>
      </c>
      <c r="D49" s="1" t="s">
        <v>33</v>
      </c>
      <c r="E49" s="13"/>
      <c r="F49" s="14"/>
      <c r="G49" s="14"/>
      <c r="H49" s="14"/>
      <c r="I49" s="14"/>
      <c r="J49" s="14"/>
      <c r="K49" s="15">
        <v>0</v>
      </c>
      <c r="L49" s="14"/>
      <c r="M49" s="15">
        <v>0</v>
      </c>
      <c r="N49" s="14"/>
      <c r="O49" s="15">
        <v>0</v>
      </c>
      <c r="P49" s="14"/>
      <c r="Q49" s="15">
        <v>0</v>
      </c>
      <c r="R49" s="13"/>
      <c r="S49" s="15">
        <v>0</v>
      </c>
      <c r="T49" s="13"/>
      <c r="U49" s="13"/>
      <c r="V49" s="13"/>
      <c r="W49" s="13"/>
      <c r="X49" s="13"/>
      <c r="Y49" s="13"/>
      <c r="Z49" s="13"/>
      <c r="AA49" s="13"/>
      <c r="AB49" s="13"/>
      <c r="AC49" s="15">
        <v>0</v>
      </c>
      <c r="AD49" s="13"/>
      <c r="AE49" s="13"/>
      <c r="AF49" s="13"/>
      <c r="AG49" s="13"/>
      <c r="AH49" s="13"/>
      <c r="AI49" s="15">
        <v>0</v>
      </c>
      <c r="AJ49" s="13"/>
      <c r="AK49" s="13"/>
      <c r="AL49" s="7"/>
      <c r="AM49" s="13"/>
      <c r="AN49" s="13"/>
      <c r="AO49" s="23">
        <v>0</v>
      </c>
      <c r="AP49" s="22"/>
      <c r="AQ49" s="22"/>
      <c r="AR49" s="22"/>
      <c r="AS49" s="22"/>
      <c r="AT49" s="22"/>
      <c r="AU49" s="22"/>
      <c r="AV49" s="22"/>
      <c r="AW49" s="16"/>
      <c r="AX49" s="16"/>
      <c r="AY49" s="15">
        <v>0</v>
      </c>
      <c r="AZ49" s="13"/>
      <c r="BA49" s="15">
        <v>0</v>
      </c>
      <c r="BB49" s="13"/>
      <c r="BC49" s="15">
        <v>0</v>
      </c>
      <c r="BE49" s="15">
        <v>1</v>
      </c>
    </row>
    <row r="50" spans="1:57" hidden="1" outlineLevel="1" x14ac:dyDescent="0.3">
      <c r="A50" s="1"/>
      <c r="B50" s="2">
        <v>19</v>
      </c>
      <c r="C50" s="2">
        <v>19</v>
      </c>
      <c r="D50" s="1" t="s">
        <v>34</v>
      </c>
      <c r="E50" s="13"/>
      <c r="F50" s="14"/>
      <c r="G50" s="16"/>
      <c r="H50" s="14"/>
      <c r="I50" s="14"/>
      <c r="J50" s="14"/>
      <c r="K50" s="15">
        <v>0</v>
      </c>
      <c r="L50" s="14"/>
      <c r="M50" s="15">
        <v>0</v>
      </c>
      <c r="N50" s="14"/>
      <c r="O50" s="15">
        <v>0</v>
      </c>
      <c r="P50" s="14"/>
      <c r="Q50" s="15">
        <v>0</v>
      </c>
      <c r="R50" s="13"/>
      <c r="S50" s="15">
        <v>0</v>
      </c>
      <c r="T50" s="13"/>
      <c r="U50" s="13"/>
      <c r="V50" s="13"/>
      <c r="W50" s="13"/>
      <c r="X50" s="13"/>
      <c r="Y50" s="13"/>
      <c r="Z50" s="13"/>
      <c r="AA50" s="13"/>
      <c r="AB50" s="13"/>
      <c r="AC50" s="15">
        <v>0</v>
      </c>
      <c r="AD50" s="13"/>
      <c r="AE50" s="13"/>
      <c r="AF50" s="13"/>
      <c r="AG50" s="13"/>
      <c r="AH50" s="13"/>
      <c r="AI50" s="15">
        <v>0</v>
      </c>
      <c r="AJ50" s="13"/>
      <c r="AK50" s="13"/>
      <c r="AL50" s="7"/>
      <c r="AM50" s="13"/>
      <c r="AN50" s="13"/>
      <c r="AO50" s="23">
        <v>0</v>
      </c>
      <c r="AP50" s="22"/>
      <c r="AQ50" s="22"/>
      <c r="AR50" s="22"/>
      <c r="AS50" s="22"/>
      <c r="AT50" s="22"/>
      <c r="AU50" s="22"/>
      <c r="AV50" s="22"/>
      <c r="AW50" s="16"/>
      <c r="AX50" s="16"/>
      <c r="AY50" s="15">
        <v>0</v>
      </c>
      <c r="AZ50" s="13"/>
      <c r="BA50" s="15">
        <v>0</v>
      </c>
      <c r="BB50" s="13"/>
      <c r="BC50" s="15">
        <v>0</v>
      </c>
      <c r="BE50" s="15">
        <v>0</v>
      </c>
    </row>
    <row r="51" spans="1:57" hidden="1" outlineLevel="1" x14ac:dyDescent="0.3">
      <c r="A51" s="1"/>
      <c r="B51" s="2">
        <v>18</v>
      </c>
      <c r="C51" s="2">
        <v>18</v>
      </c>
      <c r="D51" s="1" t="s">
        <v>35</v>
      </c>
      <c r="E51" s="13"/>
      <c r="F51" s="14"/>
      <c r="G51" s="16"/>
      <c r="H51" s="14"/>
      <c r="I51" s="14"/>
      <c r="J51" s="14"/>
      <c r="K51" s="15">
        <v>1</v>
      </c>
      <c r="L51" s="14"/>
      <c r="M51" s="15">
        <v>0</v>
      </c>
      <c r="N51" s="14"/>
      <c r="O51" s="15">
        <v>0</v>
      </c>
      <c r="P51" s="14"/>
      <c r="Q51" s="15">
        <v>0</v>
      </c>
      <c r="R51" s="13"/>
      <c r="S51" s="15">
        <v>0</v>
      </c>
      <c r="T51" s="13"/>
      <c r="U51" s="13"/>
      <c r="V51" s="13"/>
      <c r="W51" s="13"/>
      <c r="X51" s="13"/>
      <c r="Y51" s="13"/>
      <c r="Z51" s="13"/>
      <c r="AA51" s="13"/>
      <c r="AB51" s="13"/>
      <c r="AC51" s="15">
        <v>0</v>
      </c>
      <c r="AD51" s="13"/>
      <c r="AE51" s="13"/>
      <c r="AF51" s="13"/>
      <c r="AG51" s="13"/>
      <c r="AH51" s="13"/>
      <c r="AI51" s="15">
        <v>1</v>
      </c>
      <c r="AJ51" s="13"/>
      <c r="AK51" s="13"/>
      <c r="AL51" s="7"/>
      <c r="AM51" s="13"/>
      <c r="AN51" s="13"/>
      <c r="AO51" s="23">
        <v>1</v>
      </c>
      <c r="AP51" s="22"/>
      <c r="AQ51" s="22"/>
      <c r="AR51" s="22"/>
      <c r="AS51" s="22"/>
      <c r="AT51" s="22"/>
      <c r="AU51" s="22"/>
      <c r="AV51" s="22"/>
      <c r="AW51" s="16"/>
      <c r="AX51" s="16"/>
      <c r="AY51" s="15">
        <v>0</v>
      </c>
      <c r="AZ51" s="13"/>
      <c r="BA51" s="15">
        <v>0</v>
      </c>
      <c r="BB51" s="13"/>
      <c r="BC51" s="15">
        <v>0</v>
      </c>
      <c r="BE51" s="15">
        <v>0</v>
      </c>
    </row>
    <row r="52" spans="1:57" hidden="1" outlineLevel="1" x14ac:dyDescent="0.3">
      <c r="A52" s="1"/>
      <c r="B52" s="2">
        <v>17</v>
      </c>
      <c r="C52" s="2">
        <v>17</v>
      </c>
      <c r="D52" s="1" t="s">
        <v>36</v>
      </c>
      <c r="E52" s="13"/>
      <c r="F52" s="14"/>
      <c r="G52" s="16"/>
      <c r="H52" s="14"/>
      <c r="I52" s="14"/>
      <c r="J52" s="14"/>
      <c r="K52" s="15">
        <v>0</v>
      </c>
      <c r="L52" s="14"/>
      <c r="M52" s="15">
        <v>0</v>
      </c>
      <c r="N52" s="14"/>
      <c r="O52" s="15">
        <v>0</v>
      </c>
      <c r="P52" s="14"/>
      <c r="Q52" s="15">
        <v>0</v>
      </c>
      <c r="R52" s="13"/>
      <c r="S52" s="15">
        <v>0</v>
      </c>
      <c r="T52" s="13"/>
      <c r="U52" s="13"/>
      <c r="V52" s="13"/>
      <c r="W52" s="13"/>
      <c r="X52" s="13"/>
      <c r="Y52" s="13"/>
      <c r="Z52" s="13"/>
      <c r="AA52" s="13"/>
      <c r="AB52" s="13"/>
      <c r="AC52" s="15">
        <v>0</v>
      </c>
      <c r="AD52" s="13"/>
      <c r="AE52" s="13"/>
      <c r="AF52" s="13"/>
      <c r="AG52" s="13"/>
      <c r="AH52" s="13"/>
      <c r="AI52" s="15">
        <v>0</v>
      </c>
      <c r="AJ52" s="13"/>
      <c r="AK52" s="13"/>
      <c r="AL52" s="7"/>
      <c r="AM52" s="13"/>
      <c r="AN52" s="13"/>
      <c r="AO52" s="23">
        <v>0</v>
      </c>
      <c r="AP52" s="22"/>
      <c r="AQ52" s="22"/>
      <c r="AR52" s="22"/>
      <c r="AS52" s="22"/>
      <c r="AT52" s="22"/>
      <c r="AU52" s="22"/>
      <c r="AV52" s="22"/>
      <c r="AW52" s="16"/>
      <c r="AX52" s="16"/>
      <c r="AY52" s="15">
        <v>0</v>
      </c>
      <c r="AZ52" s="13"/>
      <c r="BA52" s="15">
        <v>0</v>
      </c>
      <c r="BB52" s="13"/>
      <c r="BC52" s="15">
        <v>0</v>
      </c>
      <c r="BE52" s="15">
        <v>0</v>
      </c>
    </row>
    <row r="53" spans="1:57" hidden="1" outlineLevel="1" x14ac:dyDescent="0.3">
      <c r="A53" s="1"/>
      <c r="B53" s="2">
        <v>16</v>
      </c>
      <c r="C53" s="2">
        <v>16</v>
      </c>
      <c r="D53" s="1" t="s">
        <v>37</v>
      </c>
      <c r="E53" s="13"/>
      <c r="F53" s="14"/>
      <c r="G53" s="16"/>
      <c r="H53" s="14"/>
      <c r="I53" s="14"/>
      <c r="J53" s="14"/>
      <c r="K53" s="15">
        <v>0</v>
      </c>
      <c r="L53" s="14"/>
      <c r="M53" s="15">
        <v>1</v>
      </c>
      <c r="N53" s="14"/>
      <c r="O53" s="15">
        <v>1</v>
      </c>
      <c r="P53" s="14"/>
      <c r="Q53" s="15">
        <v>1</v>
      </c>
      <c r="R53" s="13"/>
      <c r="S53" s="15">
        <v>1</v>
      </c>
      <c r="T53" s="13"/>
      <c r="U53" s="13"/>
      <c r="V53" s="13"/>
      <c r="W53" s="13"/>
      <c r="X53" s="13"/>
      <c r="Y53" s="13"/>
      <c r="Z53" s="13"/>
      <c r="AA53" s="13"/>
      <c r="AB53" s="13"/>
      <c r="AC53" s="15">
        <v>1</v>
      </c>
      <c r="AD53" s="13"/>
      <c r="AE53" s="13"/>
      <c r="AF53" s="13"/>
      <c r="AG53" s="13"/>
      <c r="AH53" s="13"/>
      <c r="AI53" s="15">
        <v>0</v>
      </c>
      <c r="AJ53" s="13"/>
      <c r="AK53" s="13"/>
      <c r="AL53" s="7"/>
      <c r="AM53" s="13"/>
      <c r="AN53" s="13"/>
      <c r="AO53" s="23">
        <v>0</v>
      </c>
      <c r="AP53" s="22"/>
      <c r="AQ53" s="22"/>
      <c r="AR53" s="22"/>
      <c r="AS53" s="22"/>
      <c r="AT53" s="22"/>
      <c r="AU53" s="22"/>
      <c r="AV53" s="22"/>
      <c r="AW53" s="16"/>
      <c r="AX53" s="16"/>
      <c r="AY53" s="15">
        <v>0</v>
      </c>
      <c r="AZ53" s="13"/>
      <c r="BA53" s="15">
        <v>0</v>
      </c>
      <c r="BB53" s="13"/>
      <c r="BC53" s="15">
        <v>0</v>
      </c>
      <c r="BE53" s="15">
        <v>0</v>
      </c>
    </row>
    <row r="54" spans="1:57" hidden="1" outlineLevel="1" x14ac:dyDescent="0.3">
      <c r="A54" s="1"/>
      <c r="B54" s="2">
        <v>15</v>
      </c>
      <c r="C54" s="2">
        <v>15</v>
      </c>
      <c r="D54" s="1" t="s">
        <v>38</v>
      </c>
      <c r="E54" s="13"/>
      <c r="F54" s="14"/>
      <c r="G54" s="16"/>
      <c r="H54" s="14"/>
      <c r="I54" s="14"/>
      <c r="J54" s="14"/>
      <c r="K54" s="15">
        <v>0</v>
      </c>
      <c r="L54" s="14"/>
      <c r="M54" s="15">
        <v>0</v>
      </c>
      <c r="N54" s="14"/>
      <c r="O54" s="15">
        <v>0</v>
      </c>
      <c r="P54" s="14"/>
      <c r="Q54" s="15">
        <v>0</v>
      </c>
      <c r="R54" s="13"/>
      <c r="S54" s="15">
        <v>0</v>
      </c>
      <c r="T54" s="13"/>
      <c r="U54" s="13"/>
      <c r="V54" s="13"/>
      <c r="W54" s="13"/>
      <c r="X54" s="13"/>
      <c r="Y54" s="13"/>
      <c r="Z54" s="13"/>
      <c r="AA54" s="13"/>
      <c r="AB54" s="13"/>
      <c r="AC54" s="15">
        <v>0</v>
      </c>
      <c r="AD54" s="13"/>
      <c r="AE54" s="13"/>
      <c r="AF54" s="13"/>
      <c r="AG54" s="13"/>
      <c r="AH54" s="13"/>
      <c r="AI54" s="15">
        <v>0</v>
      </c>
      <c r="AJ54" s="13"/>
      <c r="AK54" s="13"/>
      <c r="AL54" s="7"/>
      <c r="AM54" s="13"/>
      <c r="AN54" s="13"/>
      <c r="AO54" s="23">
        <v>0</v>
      </c>
      <c r="AP54" s="22"/>
      <c r="AQ54" s="22"/>
      <c r="AR54" s="22"/>
      <c r="AS54" s="22"/>
      <c r="AT54" s="22"/>
      <c r="AU54" s="22"/>
      <c r="AV54" s="22"/>
      <c r="AW54" s="16"/>
      <c r="AX54" s="16"/>
      <c r="AY54" s="15">
        <v>0</v>
      </c>
      <c r="AZ54" s="13"/>
      <c r="BA54" s="15">
        <v>0</v>
      </c>
      <c r="BB54" s="13"/>
      <c r="BC54" s="15">
        <v>0</v>
      </c>
      <c r="BE54" s="15">
        <v>0</v>
      </c>
    </row>
    <row r="55" spans="1:57" hidden="1" outlineLevel="1" x14ac:dyDescent="0.3">
      <c r="A55" s="1"/>
      <c r="B55" s="2">
        <v>14</v>
      </c>
      <c r="C55" s="2">
        <v>5</v>
      </c>
      <c r="D55" s="1" t="s">
        <v>39</v>
      </c>
      <c r="E55" s="13"/>
      <c r="F55" s="14"/>
      <c r="G55" s="14"/>
      <c r="H55" s="14"/>
      <c r="I55" s="14"/>
      <c r="J55" s="14"/>
      <c r="K55" s="15">
        <v>8</v>
      </c>
      <c r="L55" s="14"/>
      <c r="M55" s="15">
        <v>50</v>
      </c>
      <c r="N55" s="14"/>
      <c r="O55" s="15">
        <v>50</v>
      </c>
      <c r="P55" s="14"/>
      <c r="Q55" s="15">
        <v>50</v>
      </c>
      <c r="R55" s="13"/>
      <c r="S55" s="15">
        <v>50</v>
      </c>
      <c r="T55" s="13"/>
      <c r="U55" s="13"/>
      <c r="V55" s="13"/>
      <c r="W55" s="13"/>
      <c r="X55" s="13"/>
      <c r="Y55" s="13"/>
      <c r="Z55" s="13"/>
      <c r="AA55" s="13"/>
      <c r="AB55" s="13"/>
      <c r="AC55" s="15">
        <v>50</v>
      </c>
      <c r="AD55" s="13"/>
      <c r="AE55" s="13"/>
      <c r="AF55" s="13"/>
      <c r="AG55" s="13"/>
      <c r="AH55" s="13"/>
      <c r="AI55" s="15">
        <v>8</v>
      </c>
      <c r="AJ55" s="13"/>
      <c r="AK55" s="13"/>
      <c r="AL55" s="7"/>
      <c r="AM55" s="13"/>
      <c r="AN55" s="13"/>
      <c r="AO55" s="23">
        <v>50</v>
      </c>
      <c r="AP55" s="22"/>
      <c r="AQ55" s="22"/>
      <c r="AR55" s="22"/>
      <c r="AS55" s="22"/>
      <c r="AT55" s="22"/>
      <c r="AU55" s="22"/>
      <c r="AV55" s="22"/>
      <c r="AW55" s="14"/>
      <c r="AX55" s="14"/>
      <c r="AY55" s="18" t="s">
        <v>44</v>
      </c>
      <c r="AZ55" s="13"/>
      <c r="BA55" s="18" t="s">
        <v>44</v>
      </c>
      <c r="BB55" s="13"/>
      <c r="BC55" s="18" t="s">
        <v>44</v>
      </c>
      <c r="BE55" s="18" t="s">
        <v>44</v>
      </c>
    </row>
    <row r="56" spans="1:57" hidden="1" outlineLevel="1" x14ac:dyDescent="0.3">
      <c r="A56" s="1"/>
      <c r="B56" s="2">
        <v>4</v>
      </c>
      <c r="C56" s="2">
        <v>4</v>
      </c>
      <c r="D56" s="1" t="s">
        <v>40</v>
      </c>
      <c r="E56" s="13"/>
      <c r="F56" s="14"/>
      <c r="G56" s="16"/>
      <c r="H56" s="14"/>
      <c r="I56" s="14"/>
      <c r="J56" s="14"/>
      <c r="K56" s="15">
        <v>0</v>
      </c>
      <c r="L56" s="14"/>
      <c r="M56" s="15">
        <v>0</v>
      </c>
      <c r="N56" s="14"/>
      <c r="O56" s="15">
        <v>0</v>
      </c>
      <c r="P56" s="14"/>
      <c r="Q56" s="15">
        <v>0</v>
      </c>
      <c r="R56" s="13"/>
      <c r="S56" s="15">
        <v>0</v>
      </c>
      <c r="T56" s="13"/>
      <c r="U56" s="13"/>
      <c r="V56" s="13"/>
      <c r="W56" s="13"/>
      <c r="X56" s="13"/>
      <c r="Y56" s="13"/>
      <c r="Z56" s="13"/>
      <c r="AA56" s="13"/>
      <c r="AB56" s="13"/>
      <c r="AC56" s="15">
        <v>0</v>
      </c>
      <c r="AD56" s="13"/>
      <c r="AE56" s="13"/>
      <c r="AF56" s="13"/>
      <c r="AG56" s="13"/>
      <c r="AH56" s="13"/>
      <c r="AI56" s="15">
        <v>0</v>
      </c>
      <c r="AJ56" s="13"/>
      <c r="AK56" s="13"/>
      <c r="AL56" s="7"/>
      <c r="AM56" s="13"/>
      <c r="AN56" s="13"/>
      <c r="AO56" s="23">
        <v>0</v>
      </c>
      <c r="AP56" s="22"/>
      <c r="AQ56" s="22"/>
      <c r="AR56" s="22"/>
      <c r="AS56" s="22"/>
      <c r="AT56" s="22"/>
      <c r="AU56" s="22"/>
      <c r="AV56" s="22"/>
      <c r="AW56" s="16"/>
      <c r="AX56" s="16"/>
      <c r="AY56" s="15">
        <v>1</v>
      </c>
      <c r="AZ56" s="13"/>
      <c r="BA56" s="15">
        <v>1</v>
      </c>
      <c r="BB56" s="13"/>
      <c r="BC56" s="15">
        <v>1</v>
      </c>
      <c r="BE56" s="15">
        <v>1</v>
      </c>
    </row>
    <row r="57" spans="1:57" hidden="1" outlineLevel="1" x14ac:dyDescent="0.3">
      <c r="A57" s="1"/>
      <c r="B57" s="2">
        <v>3</v>
      </c>
      <c r="C57" s="2">
        <v>3</v>
      </c>
      <c r="D57" s="1" t="s">
        <v>41</v>
      </c>
      <c r="E57" s="13"/>
      <c r="F57" s="14"/>
      <c r="G57" s="16"/>
      <c r="H57" s="14"/>
      <c r="I57" s="14"/>
      <c r="J57" s="14"/>
      <c r="K57" s="15">
        <v>0</v>
      </c>
      <c r="L57" s="14"/>
      <c r="M57" s="15">
        <v>0</v>
      </c>
      <c r="N57" s="14"/>
      <c r="O57" s="15">
        <v>0</v>
      </c>
      <c r="P57" s="14"/>
      <c r="Q57" s="15">
        <v>0</v>
      </c>
      <c r="R57" s="13"/>
      <c r="S57" s="15">
        <v>0</v>
      </c>
      <c r="T57" s="13"/>
      <c r="U57" s="13"/>
      <c r="V57" s="13"/>
      <c r="W57" s="13"/>
      <c r="X57" s="13"/>
      <c r="Y57" s="13"/>
      <c r="Z57" s="13"/>
      <c r="AA57" s="13"/>
      <c r="AB57" s="13"/>
      <c r="AC57" s="15">
        <v>0</v>
      </c>
      <c r="AD57" s="13"/>
      <c r="AE57" s="13"/>
      <c r="AF57" s="13"/>
      <c r="AG57" s="13"/>
      <c r="AH57" s="13"/>
      <c r="AI57" s="15">
        <v>0</v>
      </c>
      <c r="AJ57" s="13"/>
      <c r="AK57" s="13"/>
      <c r="AL57" s="7"/>
      <c r="AM57" s="13"/>
      <c r="AN57" s="13"/>
      <c r="AO57" s="23">
        <v>0</v>
      </c>
      <c r="AP57" s="22"/>
      <c r="AQ57" s="22"/>
      <c r="AR57" s="22"/>
      <c r="AS57" s="22"/>
      <c r="AT57" s="22"/>
      <c r="AU57" s="22"/>
      <c r="AV57" s="22"/>
      <c r="AW57" s="14"/>
      <c r="AX57" s="14"/>
      <c r="AY57" s="18">
        <v>0</v>
      </c>
      <c r="AZ57" s="13"/>
      <c r="BA57" s="18">
        <v>0</v>
      </c>
      <c r="BB57" s="13"/>
      <c r="BC57" s="18">
        <v>0</v>
      </c>
      <c r="BE57" s="18">
        <v>0</v>
      </c>
    </row>
    <row r="58" spans="1:57" hidden="1" outlineLevel="1" x14ac:dyDescent="0.3">
      <c r="A58" s="1"/>
      <c r="B58" s="2">
        <v>2</v>
      </c>
      <c r="C58" s="2">
        <v>1</v>
      </c>
      <c r="D58" s="1" t="s">
        <v>42</v>
      </c>
      <c r="E58" s="13"/>
      <c r="F58" s="14"/>
      <c r="G58" s="14"/>
      <c r="H58" s="14"/>
      <c r="I58" s="14"/>
      <c r="J58" s="14"/>
      <c r="K58" s="15">
        <v>2</v>
      </c>
      <c r="L58" s="14"/>
      <c r="M58" s="15">
        <v>2</v>
      </c>
      <c r="N58" s="14"/>
      <c r="O58" s="15">
        <v>2</v>
      </c>
      <c r="P58" s="14"/>
      <c r="Q58" s="15">
        <v>2</v>
      </c>
      <c r="R58" s="13"/>
      <c r="S58" s="15">
        <v>2</v>
      </c>
      <c r="T58" s="13"/>
      <c r="U58" s="13"/>
      <c r="V58" s="13"/>
      <c r="W58" s="13"/>
      <c r="X58" s="13"/>
      <c r="Y58" s="13"/>
      <c r="Z58" s="13"/>
      <c r="AA58" s="13"/>
      <c r="AB58" s="13"/>
      <c r="AC58" s="15">
        <v>2</v>
      </c>
      <c r="AD58" s="13"/>
      <c r="AE58" s="13"/>
      <c r="AF58" s="13"/>
      <c r="AG58" s="13"/>
      <c r="AH58" s="13"/>
      <c r="AI58" s="15">
        <v>2</v>
      </c>
      <c r="AJ58" s="13"/>
      <c r="AK58" s="13"/>
      <c r="AL58" s="7"/>
      <c r="AM58" s="13"/>
      <c r="AN58" s="13"/>
      <c r="AO58" s="23">
        <v>2</v>
      </c>
      <c r="AP58" s="22"/>
      <c r="AQ58" s="22"/>
      <c r="AR58" s="22"/>
      <c r="AS58" s="22"/>
      <c r="AT58" s="22"/>
      <c r="AU58" s="22"/>
      <c r="AV58" s="22"/>
      <c r="AW58" s="14"/>
      <c r="AX58" s="14"/>
      <c r="AY58" s="18">
        <v>3</v>
      </c>
      <c r="AZ58" s="13"/>
      <c r="BA58" s="18">
        <v>3</v>
      </c>
      <c r="BB58" s="13"/>
      <c r="BC58" s="18">
        <v>3</v>
      </c>
      <c r="BE58" s="18">
        <v>3</v>
      </c>
    </row>
    <row r="59" spans="1:57" hidden="1" outlineLevel="1" x14ac:dyDescent="0.3">
      <c r="A59" s="1"/>
      <c r="B59" s="2">
        <v>0</v>
      </c>
      <c r="C59" s="2">
        <v>0</v>
      </c>
      <c r="D59" s="1" t="s">
        <v>43</v>
      </c>
      <c r="E59" s="13"/>
      <c r="F59" s="14"/>
      <c r="G59" s="16"/>
      <c r="H59" s="14"/>
      <c r="I59" s="14"/>
      <c r="J59" s="14"/>
      <c r="K59" s="15">
        <v>0</v>
      </c>
      <c r="L59" s="14"/>
      <c r="M59" s="15">
        <v>0</v>
      </c>
      <c r="N59" s="14"/>
      <c r="O59" s="15">
        <v>0</v>
      </c>
      <c r="P59" s="14"/>
      <c r="Q59" s="15">
        <v>0</v>
      </c>
      <c r="R59" s="13"/>
      <c r="S59" s="15">
        <v>0</v>
      </c>
      <c r="T59" s="13"/>
      <c r="U59" s="13"/>
      <c r="V59" s="13"/>
      <c r="W59" s="13"/>
      <c r="X59" s="13"/>
      <c r="Y59" s="13"/>
      <c r="Z59" s="13"/>
      <c r="AA59" s="13"/>
      <c r="AB59" s="13"/>
      <c r="AC59" s="15">
        <v>0</v>
      </c>
      <c r="AD59" s="13"/>
      <c r="AE59" s="13"/>
      <c r="AF59" s="13"/>
      <c r="AG59" s="13"/>
      <c r="AH59" s="13"/>
      <c r="AI59" s="15">
        <v>0</v>
      </c>
      <c r="AJ59" s="13"/>
      <c r="AK59" s="13"/>
      <c r="AL59" s="7"/>
      <c r="AM59" s="13"/>
      <c r="AN59" s="13"/>
      <c r="AO59" s="23">
        <v>0</v>
      </c>
      <c r="AP59" s="22"/>
      <c r="AQ59" s="22"/>
      <c r="AR59" s="22"/>
      <c r="AS59" s="22"/>
      <c r="AT59" s="22"/>
      <c r="AU59" s="22"/>
      <c r="AV59" s="22"/>
      <c r="AW59" s="16"/>
      <c r="AX59" s="16"/>
      <c r="AY59" s="15">
        <v>0</v>
      </c>
      <c r="AZ59" s="13"/>
      <c r="BA59" s="15">
        <v>0</v>
      </c>
      <c r="BB59" s="13"/>
      <c r="BC59" s="15">
        <v>0</v>
      </c>
      <c r="BE59" s="15">
        <v>1</v>
      </c>
    </row>
    <row r="60" spans="1:57" collapsed="1" x14ac:dyDescent="0.3">
      <c r="A60" s="1" t="s">
        <v>18</v>
      </c>
      <c r="B60" s="2"/>
      <c r="C60" s="2"/>
      <c r="D60" s="1"/>
      <c r="E60" s="13"/>
      <c r="F60" s="14"/>
      <c r="G60" s="14"/>
      <c r="H60" s="14"/>
      <c r="I60" s="14"/>
      <c r="J60" s="14"/>
      <c r="K60" s="20" t="str">
        <f>BitsTo32Bit(K61:K69)</f>
        <v>007001008B</v>
      </c>
      <c r="L60" s="14"/>
      <c r="M60" s="20" t="str">
        <f>BitsTo32Bit(M61:M69)</f>
        <v>040C0B</v>
      </c>
      <c r="N60" s="14"/>
      <c r="O60" s="20" t="str">
        <f>BitsTo32Bit(O61:O69)</f>
        <v>040C0B</v>
      </c>
      <c r="P60" s="14"/>
      <c r="Q60" s="20" t="str">
        <f>BitsTo32Bit(Q61:Q69)</f>
        <v>040C0B</v>
      </c>
      <c r="R60" s="13"/>
      <c r="S60" s="20" t="str">
        <f>BitsTo32Bit(S61:S69)</f>
        <v>040C0B</v>
      </c>
      <c r="T60" s="13"/>
      <c r="U60" s="43"/>
      <c r="V60" s="13"/>
      <c r="W60" s="13"/>
      <c r="X60" s="13"/>
      <c r="Y60" s="13"/>
      <c r="Z60" s="13"/>
      <c r="AA60" s="13"/>
      <c r="AB60" s="13"/>
      <c r="AC60" s="20" t="str">
        <f>BitsTo32Bit(AC61:AC69)</f>
        <v>040C0B</v>
      </c>
      <c r="AD60" s="13"/>
      <c r="AE60" s="13"/>
      <c r="AF60" s="13"/>
      <c r="AG60" s="13"/>
      <c r="AH60" s="13"/>
      <c r="AI60" s="38" t="str">
        <f>BitsTo32Bit(AI61:AI69)</f>
        <v>007000008B</v>
      </c>
      <c r="AJ60" s="13"/>
      <c r="AK60" s="13"/>
      <c r="AL60" s="7"/>
      <c r="AM60" s="13"/>
      <c r="AN60" s="13"/>
      <c r="AO60" s="38" t="str">
        <f>BitsTo32Bit(AO61:AO69)</f>
        <v>0C0B</v>
      </c>
      <c r="AP60" s="13"/>
      <c r="AQ60" s="13"/>
      <c r="AR60" s="13"/>
      <c r="AS60" s="13"/>
      <c r="AT60" s="13"/>
      <c r="AU60" s="13"/>
      <c r="AV60" s="13"/>
      <c r="AW60" s="13"/>
      <c r="AX60" s="13"/>
      <c r="AY60" s="38" t="str">
        <f>BitsTo32Bit(AY61:AY69)</f>
        <v>044003</v>
      </c>
      <c r="AZ60" s="13"/>
      <c r="BA60" s="38" t="str">
        <f>BitsTo32Bit(BA61:BA69)</f>
        <v>04400B</v>
      </c>
      <c r="BB60" s="13"/>
      <c r="BC60" s="38" t="str">
        <f>BitsTo32Bit(BC61:BC69)</f>
        <v>04400B</v>
      </c>
      <c r="BE60" s="63" t="str">
        <f>BitsTo32Bit(BE61:BE69)</f>
        <v>04007</v>
      </c>
    </row>
    <row r="61" spans="1:57" hidden="1" outlineLevel="1" x14ac:dyDescent="0.3">
      <c r="A61" s="1"/>
      <c r="B61" s="2">
        <v>31</v>
      </c>
      <c r="C61" s="2">
        <v>31</v>
      </c>
      <c r="D61" s="1" t="s">
        <v>19</v>
      </c>
      <c r="E61" s="13"/>
      <c r="F61" s="14"/>
      <c r="G61" s="16"/>
      <c r="H61" s="14"/>
      <c r="I61" s="14"/>
      <c r="J61" s="14"/>
      <c r="K61" s="15">
        <v>0</v>
      </c>
      <c r="L61" s="14"/>
      <c r="M61" s="15">
        <v>0</v>
      </c>
      <c r="N61" s="14"/>
      <c r="O61" s="15">
        <v>0</v>
      </c>
      <c r="P61" s="14"/>
      <c r="Q61" s="15">
        <v>0</v>
      </c>
      <c r="R61" s="13"/>
      <c r="S61" s="15">
        <v>0</v>
      </c>
      <c r="T61" s="13"/>
      <c r="U61" s="13"/>
      <c r="V61" s="13"/>
      <c r="W61" s="13"/>
      <c r="X61" s="13"/>
      <c r="Y61" s="13"/>
      <c r="Z61" s="13"/>
      <c r="AA61" s="13"/>
      <c r="AB61" s="13"/>
      <c r="AC61" s="15">
        <v>0</v>
      </c>
      <c r="AD61" s="13"/>
      <c r="AE61" s="13"/>
      <c r="AF61" s="13"/>
      <c r="AG61" s="13"/>
      <c r="AH61" s="13"/>
      <c r="AI61" s="19">
        <v>0</v>
      </c>
      <c r="AJ61" s="13"/>
      <c r="AK61" s="13"/>
      <c r="AL61" s="7"/>
      <c r="AM61" s="13"/>
      <c r="AN61" s="13"/>
      <c r="AO61" s="19">
        <v>0</v>
      </c>
      <c r="AP61" s="40"/>
      <c r="AQ61" s="40"/>
      <c r="AR61" s="40"/>
      <c r="AS61" s="40"/>
      <c r="AT61" s="40"/>
      <c r="AU61" s="40"/>
      <c r="AV61" s="40"/>
      <c r="AW61" s="40"/>
      <c r="AX61" s="40"/>
      <c r="AY61" s="19">
        <v>0</v>
      </c>
      <c r="AZ61" s="13"/>
      <c r="BA61" s="19">
        <v>0</v>
      </c>
      <c r="BB61" s="13"/>
      <c r="BC61" s="19">
        <v>0</v>
      </c>
      <c r="BE61" s="19">
        <v>0</v>
      </c>
    </row>
    <row r="62" spans="1:57" hidden="1" outlineLevel="1" x14ac:dyDescent="0.3">
      <c r="A62" s="1"/>
      <c r="B62" s="2">
        <v>30</v>
      </c>
      <c r="C62" s="2">
        <v>24</v>
      </c>
      <c r="D62" s="1" t="s">
        <v>20</v>
      </c>
      <c r="E62" s="13"/>
      <c r="F62" s="14"/>
      <c r="G62" s="16"/>
      <c r="H62" s="14"/>
      <c r="I62" s="14"/>
      <c r="J62" s="14"/>
      <c r="K62" s="18">
        <v>70</v>
      </c>
      <c r="L62" s="14"/>
      <c r="M62" s="15">
        <v>0</v>
      </c>
      <c r="N62" s="14"/>
      <c r="O62" s="15">
        <v>0</v>
      </c>
      <c r="P62" s="14"/>
      <c r="Q62" s="15">
        <v>0</v>
      </c>
      <c r="R62" s="13"/>
      <c r="S62" s="15">
        <v>0</v>
      </c>
      <c r="T62" s="13"/>
      <c r="U62" s="13"/>
      <c r="V62" s="13"/>
      <c r="W62" s="13"/>
      <c r="X62" s="13"/>
      <c r="Y62" s="13"/>
      <c r="Z62" s="13"/>
      <c r="AA62" s="13"/>
      <c r="AB62" s="13"/>
      <c r="AC62" s="15">
        <v>0</v>
      </c>
      <c r="AD62" s="13"/>
      <c r="AE62" s="13"/>
      <c r="AF62" s="13"/>
      <c r="AG62" s="13"/>
      <c r="AH62" s="13"/>
      <c r="AI62" s="39">
        <v>70</v>
      </c>
      <c r="AJ62" s="13"/>
      <c r="AK62" s="13"/>
      <c r="AL62" s="7"/>
      <c r="AM62" s="13"/>
      <c r="AN62" s="13"/>
      <c r="AO62" s="19">
        <v>0</v>
      </c>
      <c r="AP62" s="40"/>
      <c r="AQ62" s="40"/>
      <c r="AR62" s="40"/>
      <c r="AS62" s="40"/>
      <c r="AT62" s="40"/>
      <c r="AU62" s="40"/>
      <c r="AV62" s="40"/>
      <c r="AW62" s="40"/>
      <c r="AX62" s="40"/>
      <c r="AY62" s="19">
        <v>0</v>
      </c>
      <c r="AZ62" s="13"/>
      <c r="BA62" s="19">
        <v>0</v>
      </c>
      <c r="BB62" s="13"/>
      <c r="BC62" s="19">
        <v>0</v>
      </c>
      <c r="BE62" s="19">
        <v>0</v>
      </c>
    </row>
    <row r="63" spans="1:57" hidden="1" outlineLevel="1" x14ac:dyDescent="0.3">
      <c r="A63" s="1"/>
      <c r="B63" s="2">
        <v>23</v>
      </c>
      <c r="C63" s="2">
        <v>15</v>
      </c>
      <c r="D63" s="1" t="s">
        <v>21</v>
      </c>
      <c r="E63" s="13"/>
      <c r="F63" s="14"/>
      <c r="G63" s="14"/>
      <c r="H63" s="14"/>
      <c r="I63" s="14"/>
      <c r="J63" s="14"/>
      <c r="K63" s="18">
        <v>2</v>
      </c>
      <c r="L63" s="14"/>
      <c r="M63" s="18">
        <v>8</v>
      </c>
      <c r="N63" s="14"/>
      <c r="O63" s="18">
        <v>8</v>
      </c>
      <c r="P63" s="14"/>
      <c r="Q63" s="18">
        <v>8</v>
      </c>
      <c r="R63" s="13"/>
      <c r="S63" s="18">
        <v>8</v>
      </c>
      <c r="T63" s="13"/>
      <c r="U63" s="13"/>
      <c r="V63" s="13"/>
      <c r="W63" s="13"/>
      <c r="X63" s="13"/>
      <c r="Y63" s="13"/>
      <c r="Z63" s="13"/>
      <c r="AA63" s="13"/>
      <c r="AB63" s="13"/>
      <c r="AC63" s="18">
        <v>8</v>
      </c>
      <c r="AD63" s="13"/>
      <c r="AE63" s="13"/>
      <c r="AF63" s="13"/>
      <c r="AG63" s="13"/>
      <c r="AH63" s="13"/>
      <c r="AI63" s="39">
        <v>0</v>
      </c>
      <c r="AJ63" s="13"/>
      <c r="AK63" s="13"/>
      <c r="AL63" s="7"/>
      <c r="AM63" s="13"/>
      <c r="AN63" s="13"/>
      <c r="AO63" s="39">
        <v>0</v>
      </c>
      <c r="AP63" s="13"/>
      <c r="AQ63" s="13"/>
      <c r="AR63" s="13"/>
      <c r="AS63" s="13"/>
      <c r="AT63" s="13"/>
      <c r="AU63" s="13"/>
      <c r="AV63" s="13"/>
      <c r="AW63" s="13"/>
      <c r="AX63" s="13"/>
      <c r="AY63" s="39">
        <v>8</v>
      </c>
      <c r="AZ63" s="13"/>
      <c r="BA63" s="39">
        <v>8</v>
      </c>
      <c r="BB63" s="13"/>
      <c r="BC63" s="39">
        <v>8</v>
      </c>
      <c r="BE63" s="64">
        <v>0</v>
      </c>
    </row>
    <row r="64" spans="1:57" hidden="1" outlineLevel="1" x14ac:dyDescent="0.3">
      <c r="A64" s="1"/>
      <c r="B64" s="2">
        <v>14</v>
      </c>
      <c r="C64" s="2">
        <v>5</v>
      </c>
      <c r="D64" s="1" t="s">
        <v>22</v>
      </c>
      <c r="E64" s="13"/>
      <c r="F64" s="14"/>
      <c r="G64" s="14"/>
      <c r="H64" s="14"/>
      <c r="I64" s="14"/>
      <c r="J64" s="14"/>
      <c r="K64" s="18">
        <v>4</v>
      </c>
      <c r="L64" s="14"/>
      <c r="M64" s="18">
        <v>60</v>
      </c>
      <c r="N64" s="14"/>
      <c r="O64" s="18">
        <v>60</v>
      </c>
      <c r="P64" s="14"/>
      <c r="Q64" s="18">
        <v>60</v>
      </c>
      <c r="R64" s="13"/>
      <c r="S64" s="18">
        <v>60</v>
      </c>
      <c r="T64" s="13"/>
      <c r="U64" s="13"/>
      <c r="V64" s="13"/>
      <c r="W64" s="13"/>
      <c r="X64" s="13"/>
      <c r="Y64" s="13"/>
      <c r="Z64" s="13"/>
      <c r="AA64" s="13"/>
      <c r="AB64" s="13"/>
      <c r="AC64" s="18">
        <v>60</v>
      </c>
      <c r="AD64" s="13"/>
      <c r="AE64" s="13"/>
      <c r="AF64" s="13"/>
      <c r="AG64" s="13"/>
      <c r="AH64" s="13"/>
      <c r="AI64" s="39">
        <v>4</v>
      </c>
      <c r="AJ64" s="13"/>
      <c r="AK64" s="13"/>
      <c r="AL64" s="7"/>
      <c r="AM64" s="13"/>
      <c r="AN64" s="13"/>
      <c r="AO64" s="39">
        <v>60</v>
      </c>
      <c r="AP64" s="13"/>
      <c r="AQ64" s="13"/>
      <c r="AR64" s="13"/>
      <c r="AS64" s="13"/>
      <c r="AT64" s="13"/>
      <c r="AU64" s="13"/>
      <c r="AV64" s="13"/>
      <c r="AW64" s="13"/>
      <c r="AX64" s="13"/>
      <c r="AY64" s="39">
        <v>200</v>
      </c>
      <c r="AZ64" s="13"/>
      <c r="BA64" s="39">
        <v>200</v>
      </c>
      <c r="BB64" s="13"/>
      <c r="BC64" s="39">
        <v>200</v>
      </c>
      <c r="BE64" s="64">
        <v>200</v>
      </c>
    </row>
    <row r="65" spans="1:57" hidden="1" outlineLevel="1" x14ac:dyDescent="0.3">
      <c r="A65" s="1"/>
      <c r="B65" s="2">
        <v>4</v>
      </c>
      <c r="C65" s="2">
        <v>4</v>
      </c>
      <c r="D65" s="1" t="s">
        <v>23</v>
      </c>
      <c r="E65" s="13"/>
      <c r="F65" s="14"/>
      <c r="G65" s="16"/>
      <c r="H65" s="14"/>
      <c r="I65" s="14"/>
      <c r="J65" s="14"/>
      <c r="K65" s="15">
        <v>0</v>
      </c>
      <c r="L65" s="14"/>
      <c r="M65" s="15">
        <v>0</v>
      </c>
      <c r="N65" s="14"/>
      <c r="O65" s="15">
        <v>0</v>
      </c>
      <c r="P65" s="14"/>
      <c r="Q65" s="15">
        <v>0</v>
      </c>
      <c r="R65" s="13"/>
      <c r="S65" s="15">
        <v>0</v>
      </c>
      <c r="T65" s="13"/>
      <c r="U65" s="13"/>
      <c r="V65" s="13"/>
      <c r="W65" s="13"/>
      <c r="X65" s="13"/>
      <c r="Y65" s="13"/>
      <c r="Z65" s="13"/>
      <c r="AA65" s="13"/>
      <c r="AB65" s="13"/>
      <c r="AC65" s="15">
        <v>0</v>
      </c>
      <c r="AD65" s="13"/>
      <c r="AE65" s="13"/>
      <c r="AF65" s="13"/>
      <c r="AG65" s="13"/>
      <c r="AH65" s="13"/>
      <c r="AI65" s="19">
        <v>0</v>
      </c>
      <c r="AJ65" s="13"/>
      <c r="AK65" s="13"/>
      <c r="AL65" s="7"/>
      <c r="AM65" s="13"/>
      <c r="AN65" s="13"/>
      <c r="AO65" s="19">
        <v>0</v>
      </c>
      <c r="AP65" s="40"/>
      <c r="AQ65" s="40"/>
      <c r="AR65" s="40"/>
      <c r="AS65" s="40"/>
      <c r="AT65" s="40"/>
      <c r="AU65" s="40"/>
      <c r="AV65" s="40"/>
      <c r="AW65" s="40"/>
      <c r="AX65" s="40"/>
      <c r="AY65" s="19">
        <v>0</v>
      </c>
      <c r="AZ65" s="13"/>
      <c r="BA65" s="19">
        <v>0</v>
      </c>
      <c r="BB65" s="13"/>
      <c r="BC65" s="19">
        <v>0</v>
      </c>
      <c r="BE65" s="19">
        <v>0</v>
      </c>
    </row>
    <row r="66" spans="1:57" hidden="1" outlineLevel="1" x14ac:dyDescent="0.3">
      <c r="A66" s="1"/>
      <c r="B66" s="2">
        <v>3</v>
      </c>
      <c r="C66" s="2">
        <v>3</v>
      </c>
      <c r="D66" s="1" t="s">
        <v>24</v>
      </c>
      <c r="E66" s="13"/>
      <c r="F66" s="14"/>
      <c r="G66" s="16"/>
      <c r="H66" s="14"/>
      <c r="I66" s="14"/>
      <c r="J66" s="14"/>
      <c r="K66" s="15">
        <v>1</v>
      </c>
      <c r="L66" s="14"/>
      <c r="M66" s="15">
        <v>1</v>
      </c>
      <c r="N66" s="14"/>
      <c r="O66" s="15">
        <v>1</v>
      </c>
      <c r="P66" s="14"/>
      <c r="Q66" s="15">
        <v>1</v>
      </c>
      <c r="R66" s="13"/>
      <c r="S66" s="15">
        <v>1</v>
      </c>
      <c r="T66" s="13"/>
      <c r="U66" s="13"/>
      <c r="V66" s="13"/>
      <c r="W66" s="13"/>
      <c r="X66" s="13"/>
      <c r="Y66" s="13"/>
      <c r="Z66" s="13"/>
      <c r="AA66" s="13"/>
      <c r="AB66" s="13"/>
      <c r="AC66" s="15">
        <v>1</v>
      </c>
      <c r="AD66" s="13"/>
      <c r="AE66" s="13"/>
      <c r="AF66" s="13"/>
      <c r="AG66" s="13"/>
      <c r="AH66" s="13"/>
      <c r="AI66" s="19">
        <v>1</v>
      </c>
      <c r="AJ66" s="13"/>
      <c r="AK66" s="13"/>
      <c r="AL66" s="7"/>
      <c r="AM66" s="13"/>
      <c r="AN66" s="13"/>
      <c r="AO66" s="19">
        <v>1</v>
      </c>
      <c r="AP66" s="40"/>
      <c r="AQ66" s="40"/>
      <c r="AR66" s="40"/>
      <c r="AS66" s="40"/>
      <c r="AT66" s="40"/>
      <c r="AU66" s="40"/>
      <c r="AV66" s="40"/>
      <c r="AW66" s="40"/>
      <c r="AX66" s="40"/>
      <c r="AY66" s="19">
        <v>0</v>
      </c>
      <c r="AZ66" s="13"/>
      <c r="BA66" s="19">
        <v>1</v>
      </c>
      <c r="BB66" s="13"/>
      <c r="BC66" s="19">
        <v>1</v>
      </c>
      <c r="BE66" s="19">
        <v>0</v>
      </c>
    </row>
    <row r="67" spans="1:57" hidden="1" outlineLevel="1" x14ac:dyDescent="0.3">
      <c r="A67" s="1"/>
      <c r="B67" s="2">
        <v>2</v>
      </c>
      <c r="C67" s="2">
        <v>2</v>
      </c>
      <c r="D67" s="1" t="s">
        <v>25</v>
      </c>
      <c r="E67" s="13"/>
      <c r="F67" s="14"/>
      <c r="G67" s="16"/>
      <c r="H67" s="14"/>
      <c r="I67" s="14"/>
      <c r="J67" s="14"/>
      <c r="K67" s="15">
        <v>0</v>
      </c>
      <c r="L67" s="14"/>
      <c r="M67" s="15">
        <v>0</v>
      </c>
      <c r="N67" s="14"/>
      <c r="O67" s="15">
        <v>0</v>
      </c>
      <c r="P67" s="14"/>
      <c r="Q67" s="15">
        <v>0</v>
      </c>
      <c r="R67" s="13"/>
      <c r="S67" s="15">
        <v>0</v>
      </c>
      <c r="T67" s="13"/>
      <c r="U67" s="13"/>
      <c r="V67" s="13"/>
      <c r="W67" s="13"/>
      <c r="X67" s="13"/>
      <c r="Y67" s="13"/>
      <c r="Z67" s="13"/>
      <c r="AA67" s="13"/>
      <c r="AB67" s="13"/>
      <c r="AC67" s="15">
        <v>0</v>
      </c>
      <c r="AD67" s="13"/>
      <c r="AE67" s="13"/>
      <c r="AF67" s="13"/>
      <c r="AG67" s="13"/>
      <c r="AH67" s="13"/>
      <c r="AI67" s="19">
        <v>0</v>
      </c>
      <c r="AJ67" s="13"/>
      <c r="AK67" s="13"/>
      <c r="AL67" s="7"/>
      <c r="AM67" s="13"/>
      <c r="AN67" s="13"/>
      <c r="AO67" s="19">
        <v>0</v>
      </c>
      <c r="AP67" s="40"/>
      <c r="AQ67" s="40"/>
      <c r="AR67" s="40"/>
      <c r="AS67" s="40"/>
      <c r="AT67" s="40"/>
      <c r="AU67" s="40"/>
      <c r="AV67" s="40"/>
      <c r="AW67" s="40"/>
      <c r="AX67" s="40"/>
      <c r="AY67" s="19">
        <v>0</v>
      </c>
      <c r="AZ67" s="13"/>
      <c r="BA67" s="19">
        <v>0</v>
      </c>
      <c r="BB67" s="13"/>
      <c r="BC67" s="19">
        <v>0</v>
      </c>
      <c r="BE67" s="19">
        <v>1</v>
      </c>
    </row>
    <row r="68" spans="1:57" hidden="1" outlineLevel="1" x14ac:dyDescent="0.3">
      <c r="A68" s="1"/>
      <c r="B68" s="2">
        <v>1</v>
      </c>
      <c r="C68" s="2">
        <v>1</v>
      </c>
      <c r="D68" s="1" t="s">
        <v>26</v>
      </c>
      <c r="E68" s="13"/>
      <c r="F68" s="14"/>
      <c r="G68" s="16"/>
      <c r="H68" s="14"/>
      <c r="I68" s="14"/>
      <c r="J68" s="14"/>
      <c r="K68" s="15">
        <v>1</v>
      </c>
      <c r="L68" s="14"/>
      <c r="M68" s="15">
        <v>1</v>
      </c>
      <c r="N68" s="14"/>
      <c r="O68" s="15">
        <v>1</v>
      </c>
      <c r="P68" s="14"/>
      <c r="Q68" s="15">
        <v>1</v>
      </c>
      <c r="R68" s="13"/>
      <c r="S68" s="15">
        <v>1</v>
      </c>
      <c r="T68" s="13"/>
      <c r="U68" s="13"/>
      <c r="V68" s="13"/>
      <c r="W68" s="13"/>
      <c r="X68" s="13"/>
      <c r="Y68" s="13"/>
      <c r="Z68" s="13"/>
      <c r="AA68" s="13"/>
      <c r="AB68" s="13"/>
      <c r="AC68" s="15">
        <v>1</v>
      </c>
      <c r="AD68" s="13"/>
      <c r="AE68" s="13"/>
      <c r="AF68" s="13"/>
      <c r="AG68" s="13"/>
      <c r="AH68" s="13"/>
      <c r="AI68" s="19">
        <v>1</v>
      </c>
      <c r="AJ68" s="13"/>
      <c r="AK68" s="13"/>
      <c r="AL68" s="7"/>
      <c r="AM68" s="13"/>
      <c r="AN68" s="13"/>
      <c r="AO68" s="19">
        <v>1</v>
      </c>
      <c r="AP68" s="40"/>
      <c r="AQ68" s="40"/>
      <c r="AR68" s="40"/>
      <c r="AS68" s="40"/>
      <c r="AT68" s="40"/>
      <c r="AU68" s="40"/>
      <c r="AV68" s="40"/>
      <c r="AW68" s="40"/>
      <c r="AX68" s="40"/>
      <c r="AY68" s="19">
        <v>1</v>
      </c>
      <c r="AZ68" s="13"/>
      <c r="BA68" s="19">
        <v>1</v>
      </c>
      <c r="BB68" s="13"/>
      <c r="BC68" s="19">
        <v>1</v>
      </c>
      <c r="BE68" s="19">
        <v>1</v>
      </c>
    </row>
    <row r="69" spans="1:57" hidden="1" outlineLevel="1" x14ac:dyDescent="0.3">
      <c r="A69" s="1"/>
      <c r="B69" s="2">
        <v>0</v>
      </c>
      <c r="C69" s="2">
        <v>0</v>
      </c>
      <c r="D69" s="1" t="s">
        <v>27</v>
      </c>
      <c r="E69" s="13"/>
      <c r="F69" s="14"/>
      <c r="G69" s="16"/>
      <c r="H69" s="14"/>
      <c r="I69" s="14"/>
      <c r="J69" s="14"/>
      <c r="K69" s="15">
        <v>1</v>
      </c>
      <c r="L69" s="14"/>
      <c r="M69" s="15">
        <v>1</v>
      </c>
      <c r="N69" s="14"/>
      <c r="O69" s="15">
        <v>1</v>
      </c>
      <c r="P69" s="14"/>
      <c r="Q69" s="15">
        <v>1</v>
      </c>
      <c r="R69" s="13"/>
      <c r="S69" s="15">
        <v>1</v>
      </c>
      <c r="T69" s="13"/>
      <c r="U69" s="13"/>
      <c r="V69" s="13"/>
      <c r="W69" s="13"/>
      <c r="X69" s="13"/>
      <c r="Y69" s="13"/>
      <c r="Z69" s="13"/>
      <c r="AA69" s="13"/>
      <c r="AB69" s="13"/>
      <c r="AC69" s="15">
        <v>1</v>
      </c>
      <c r="AD69" s="13"/>
      <c r="AE69" s="13"/>
      <c r="AF69" s="13"/>
      <c r="AG69" s="13"/>
      <c r="AH69" s="13"/>
      <c r="AI69" s="19">
        <v>1</v>
      </c>
      <c r="AJ69" s="13"/>
      <c r="AK69" s="13"/>
      <c r="AL69" s="7"/>
      <c r="AM69" s="13"/>
      <c r="AN69" s="13"/>
      <c r="AO69" s="19">
        <v>1</v>
      </c>
      <c r="AP69" s="40"/>
      <c r="AQ69" s="40"/>
      <c r="AR69" s="40"/>
      <c r="AS69" s="40"/>
      <c r="AT69" s="40"/>
      <c r="AU69" s="40"/>
      <c r="AV69" s="40"/>
      <c r="AW69" s="40"/>
      <c r="AX69" s="40"/>
      <c r="AY69" s="19">
        <v>1</v>
      </c>
      <c r="AZ69" s="13"/>
      <c r="BA69" s="19">
        <v>1</v>
      </c>
      <c r="BB69" s="13"/>
      <c r="BC69" s="19">
        <v>1</v>
      </c>
      <c r="BE69" s="19">
        <v>1</v>
      </c>
    </row>
    <row r="70" spans="1:57" collapsed="1" x14ac:dyDescent="0.3">
      <c r="A70" s="1" t="s">
        <v>134</v>
      </c>
      <c r="B70" s="2"/>
      <c r="C70" s="2"/>
      <c r="D70" s="1"/>
      <c r="E70" s="13"/>
      <c r="F70" s="14"/>
      <c r="G70" s="20" t="str">
        <f>BitsTo32Bit(G71:G74)</f>
        <v>020001F0</v>
      </c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7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20" t="str">
        <f>BitsTo32Bit(AW71:AW74)</f>
        <v>03000130</v>
      </c>
      <c r="AX70" s="13"/>
      <c r="AY70" s="13"/>
      <c r="AZ70" s="13"/>
      <c r="BA70" s="13"/>
      <c r="BB70" s="13"/>
      <c r="BC70" s="13"/>
      <c r="BE70" s="20" t="str">
        <f>BitsTo32Bit(BE71:BE74)</f>
        <v>03000130</v>
      </c>
    </row>
    <row r="71" spans="1:57" hidden="1" outlineLevel="1" x14ac:dyDescent="0.3">
      <c r="A71" s="1"/>
      <c r="B71" s="2">
        <v>31</v>
      </c>
      <c r="C71" s="2">
        <v>26</v>
      </c>
      <c r="D71" s="1" t="s">
        <v>1</v>
      </c>
      <c r="E71" s="13"/>
      <c r="F71" s="14"/>
      <c r="G71" s="15">
        <v>0</v>
      </c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7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5">
        <v>0</v>
      </c>
      <c r="AX71" s="13"/>
      <c r="AY71" s="13"/>
      <c r="AZ71" s="13"/>
      <c r="BA71" s="13"/>
      <c r="BB71" s="13"/>
      <c r="BC71" s="13"/>
      <c r="BE71" s="15">
        <v>0</v>
      </c>
    </row>
    <row r="72" spans="1:57" hidden="1" outlineLevel="1" x14ac:dyDescent="0.3">
      <c r="A72" s="1"/>
      <c r="B72" s="2">
        <v>25</v>
      </c>
      <c r="C72" s="2">
        <v>16</v>
      </c>
      <c r="D72" s="1" t="s">
        <v>135</v>
      </c>
      <c r="E72" s="13"/>
      <c r="F72" s="14"/>
      <c r="G72" s="18">
        <v>200</v>
      </c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7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8">
        <v>300</v>
      </c>
      <c r="AX72" s="13"/>
      <c r="AY72" s="13"/>
      <c r="AZ72" s="13"/>
      <c r="BA72" s="13"/>
      <c r="BB72" s="13"/>
      <c r="BC72" s="13"/>
      <c r="BE72" s="18">
        <v>300</v>
      </c>
    </row>
    <row r="73" spans="1:57" hidden="1" outlineLevel="1" x14ac:dyDescent="0.3">
      <c r="A73" s="1"/>
      <c r="B73" s="2">
        <v>15</v>
      </c>
      <c r="C73" s="2">
        <v>10</v>
      </c>
      <c r="D73" s="1" t="s">
        <v>1</v>
      </c>
      <c r="E73" s="13"/>
      <c r="F73" s="14"/>
      <c r="G73" s="15">
        <v>0</v>
      </c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7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5">
        <v>0</v>
      </c>
      <c r="AX73" s="13"/>
      <c r="AY73" s="13"/>
      <c r="AZ73" s="13"/>
      <c r="BA73" s="13"/>
      <c r="BB73" s="13"/>
      <c r="BC73" s="13"/>
      <c r="BE73" s="15">
        <v>0</v>
      </c>
    </row>
    <row r="74" spans="1:57" hidden="1" outlineLevel="1" x14ac:dyDescent="0.3">
      <c r="A74" s="1"/>
      <c r="B74" s="2">
        <v>9</v>
      </c>
      <c r="C74" s="2">
        <v>0</v>
      </c>
      <c r="D74" s="1" t="s">
        <v>136</v>
      </c>
      <c r="E74" s="13"/>
      <c r="F74" s="14"/>
      <c r="G74" s="15" t="s">
        <v>303</v>
      </c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7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5">
        <v>130</v>
      </c>
      <c r="AX74" s="13"/>
      <c r="AY74" s="13"/>
      <c r="AZ74" s="13"/>
      <c r="BA74" s="13"/>
      <c r="BB74" s="13"/>
      <c r="BC74" s="13"/>
      <c r="BE74" s="15">
        <v>130</v>
      </c>
    </row>
    <row r="75" spans="1:57" collapsed="1" x14ac:dyDescent="0.3">
      <c r="A75" s="1" t="s">
        <v>71</v>
      </c>
      <c r="B75" s="2"/>
      <c r="C75" s="2"/>
      <c r="D75" s="1"/>
      <c r="E75" s="13"/>
      <c r="F75" s="14"/>
      <c r="G75" s="14"/>
      <c r="H75" s="14"/>
      <c r="I75" s="14"/>
      <c r="J75" s="14"/>
      <c r="K75" s="16"/>
      <c r="L75" s="14"/>
      <c r="M75" s="14"/>
      <c r="N75" s="14"/>
      <c r="O75" s="14"/>
      <c r="P75" s="14"/>
      <c r="Q75" s="14"/>
      <c r="R75" s="13"/>
      <c r="S75" s="14"/>
      <c r="T75" s="13"/>
      <c r="U75" s="13"/>
      <c r="V75" s="13"/>
      <c r="W75" s="13"/>
      <c r="X75" s="13"/>
      <c r="Y75" s="13"/>
      <c r="Z75" s="13"/>
      <c r="AA75" s="13"/>
      <c r="AB75" s="13"/>
      <c r="AC75" s="14"/>
      <c r="AD75" s="13"/>
      <c r="AE75" s="13"/>
      <c r="AF75" s="13"/>
      <c r="AG75" s="13"/>
      <c r="AH75" s="13"/>
      <c r="AI75" s="21"/>
      <c r="AJ75" s="13"/>
      <c r="AK75" s="13"/>
      <c r="AL75" s="7"/>
      <c r="AM75" s="13"/>
      <c r="AN75" s="13"/>
      <c r="AO75" s="21"/>
      <c r="AP75" s="21"/>
      <c r="AQ75" s="21"/>
      <c r="AR75" s="21"/>
      <c r="AS75" s="21"/>
      <c r="AT75" s="21"/>
      <c r="AU75" s="21"/>
      <c r="AV75" s="21"/>
      <c r="AW75" s="38" t="str">
        <f>BitsTo32Bit(AW76:AW90)</f>
        <v>14080</v>
      </c>
      <c r="AX75" s="13"/>
      <c r="AY75" s="13"/>
      <c r="AZ75" s="13"/>
      <c r="BA75" s="13"/>
      <c r="BB75" s="13"/>
      <c r="BC75" s="13"/>
      <c r="BE75" s="38" t="str">
        <f>BitsTo32Bit(BE76:BE90)</f>
        <v>0C080</v>
      </c>
    </row>
    <row r="76" spans="1:57" hidden="1" outlineLevel="1" x14ac:dyDescent="0.3">
      <c r="A76" s="1"/>
      <c r="B76" s="2">
        <v>31</v>
      </c>
      <c r="C76" s="2">
        <v>17</v>
      </c>
      <c r="D76" s="1" t="s">
        <v>1</v>
      </c>
      <c r="E76" s="13"/>
      <c r="F76" s="14"/>
      <c r="G76" s="16"/>
      <c r="H76" s="14"/>
      <c r="I76" s="16"/>
      <c r="J76" s="14"/>
      <c r="K76" s="14"/>
      <c r="L76" s="14"/>
      <c r="M76" s="16"/>
      <c r="N76" s="14"/>
      <c r="O76" s="14"/>
      <c r="P76" s="14"/>
      <c r="Q76" s="14"/>
      <c r="R76" s="13"/>
      <c r="S76" s="16"/>
      <c r="T76" s="13"/>
      <c r="U76" s="13"/>
      <c r="V76" s="13"/>
      <c r="W76" s="13"/>
      <c r="X76" s="13"/>
      <c r="Y76" s="13"/>
      <c r="Z76" s="13"/>
      <c r="AA76" s="13"/>
      <c r="AB76" s="13"/>
      <c r="AC76" s="16"/>
      <c r="AD76" s="13"/>
      <c r="AE76" s="13"/>
      <c r="AF76" s="13"/>
      <c r="AG76" s="13"/>
      <c r="AH76" s="13"/>
      <c r="AI76" s="21"/>
      <c r="AJ76" s="13"/>
      <c r="AK76" s="13"/>
      <c r="AL76" s="7"/>
      <c r="AM76" s="13"/>
      <c r="AN76" s="13"/>
      <c r="AO76" s="21"/>
      <c r="AP76" s="21"/>
      <c r="AQ76" s="21"/>
      <c r="AR76" s="21"/>
      <c r="AS76" s="21"/>
      <c r="AT76" s="21"/>
      <c r="AU76" s="21"/>
      <c r="AV76" s="21"/>
      <c r="AW76" s="19">
        <v>0</v>
      </c>
      <c r="AX76" s="40"/>
      <c r="AY76" s="13"/>
      <c r="AZ76" s="13"/>
      <c r="BA76" s="13"/>
      <c r="BB76" s="13"/>
      <c r="BC76" s="13"/>
      <c r="BE76" s="19">
        <v>0</v>
      </c>
    </row>
    <row r="77" spans="1:57" hidden="1" outlineLevel="1" x14ac:dyDescent="0.3">
      <c r="A77" s="1"/>
      <c r="B77" s="2">
        <v>16</v>
      </c>
      <c r="C77" s="2">
        <v>16</v>
      </c>
      <c r="D77" s="1" t="s">
        <v>307</v>
      </c>
      <c r="E77" s="13"/>
      <c r="F77" s="14"/>
      <c r="G77" s="16"/>
      <c r="H77" s="14"/>
      <c r="I77" s="16"/>
      <c r="J77" s="14"/>
      <c r="K77" s="14"/>
      <c r="L77" s="14"/>
      <c r="M77" s="16"/>
      <c r="N77" s="14"/>
      <c r="O77" s="14"/>
      <c r="P77" s="14"/>
      <c r="Q77" s="14"/>
      <c r="R77" s="13"/>
      <c r="S77" s="16"/>
      <c r="T77" s="13"/>
      <c r="U77" s="13"/>
      <c r="V77" s="13"/>
      <c r="W77" s="13"/>
      <c r="X77" s="13"/>
      <c r="Y77" s="13"/>
      <c r="Z77" s="13"/>
      <c r="AA77" s="13"/>
      <c r="AB77" s="13"/>
      <c r="AC77" s="16"/>
      <c r="AD77" s="13"/>
      <c r="AE77" s="13"/>
      <c r="AF77" s="13"/>
      <c r="AG77" s="13"/>
      <c r="AH77" s="13"/>
      <c r="AI77" s="21"/>
      <c r="AJ77" s="13"/>
      <c r="AK77" s="13"/>
      <c r="AL77" s="7"/>
      <c r="AM77" s="13"/>
      <c r="AN77" s="13"/>
      <c r="AO77" s="21"/>
      <c r="AP77" s="21"/>
      <c r="AQ77" s="21"/>
      <c r="AR77" s="21"/>
      <c r="AS77" s="21"/>
      <c r="AT77" s="21"/>
      <c r="AU77" s="21"/>
      <c r="AV77" s="21"/>
      <c r="AW77" s="19">
        <v>1</v>
      </c>
      <c r="AX77" s="40"/>
      <c r="AY77" s="13"/>
      <c r="AZ77" s="13"/>
      <c r="BA77" s="13"/>
      <c r="BB77" s="13"/>
      <c r="BC77" s="13"/>
      <c r="BE77" s="19">
        <v>0</v>
      </c>
    </row>
    <row r="78" spans="1:57" hidden="1" outlineLevel="1" x14ac:dyDescent="0.3">
      <c r="A78" s="1"/>
      <c r="B78" s="2">
        <v>15</v>
      </c>
      <c r="C78" s="2">
        <v>15</v>
      </c>
      <c r="D78" s="1" t="s">
        <v>72</v>
      </c>
      <c r="E78" s="13"/>
      <c r="F78" s="14"/>
      <c r="G78" s="16"/>
      <c r="H78" s="14"/>
      <c r="I78" s="16"/>
      <c r="J78" s="14"/>
      <c r="K78" s="14"/>
      <c r="L78" s="14"/>
      <c r="M78" s="16"/>
      <c r="N78" s="14"/>
      <c r="O78" s="14"/>
      <c r="P78" s="14"/>
      <c r="Q78" s="14"/>
      <c r="R78" s="13"/>
      <c r="S78" s="16"/>
      <c r="T78" s="13"/>
      <c r="U78" s="13"/>
      <c r="V78" s="13"/>
      <c r="W78" s="13"/>
      <c r="X78" s="13"/>
      <c r="Y78" s="13"/>
      <c r="Z78" s="13"/>
      <c r="AA78" s="13"/>
      <c r="AB78" s="13"/>
      <c r="AC78" s="16"/>
      <c r="AD78" s="13"/>
      <c r="AE78" s="13"/>
      <c r="AF78" s="13"/>
      <c r="AG78" s="13"/>
      <c r="AH78" s="13"/>
      <c r="AI78" s="21"/>
      <c r="AJ78" s="13"/>
      <c r="AK78" s="13"/>
      <c r="AL78" s="7"/>
      <c r="AM78" s="13"/>
      <c r="AN78" s="13"/>
      <c r="AO78" s="21"/>
      <c r="AP78" s="21"/>
      <c r="AQ78" s="21"/>
      <c r="AR78" s="21"/>
      <c r="AS78" s="21"/>
      <c r="AT78" s="21"/>
      <c r="AU78" s="21"/>
      <c r="AV78" s="21"/>
      <c r="AW78" s="19">
        <v>0</v>
      </c>
      <c r="AX78" s="40"/>
      <c r="AY78" s="13"/>
      <c r="AZ78" s="13"/>
      <c r="BA78" s="13"/>
      <c r="BB78" s="13"/>
      <c r="BC78" s="13"/>
      <c r="BE78" s="19">
        <v>1</v>
      </c>
    </row>
    <row r="79" spans="1:57" hidden="1" outlineLevel="1" x14ac:dyDescent="0.3">
      <c r="A79" s="1"/>
      <c r="B79" s="2">
        <v>14</v>
      </c>
      <c r="C79" s="2">
        <v>14</v>
      </c>
      <c r="D79" s="1" t="s">
        <v>73</v>
      </c>
      <c r="E79" s="13"/>
      <c r="F79" s="14"/>
      <c r="G79" s="16"/>
      <c r="H79" s="14"/>
      <c r="I79" s="16"/>
      <c r="J79" s="14"/>
      <c r="K79" s="14"/>
      <c r="L79" s="14"/>
      <c r="M79" s="16"/>
      <c r="N79" s="14"/>
      <c r="O79" s="14"/>
      <c r="P79" s="14"/>
      <c r="Q79" s="14"/>
      <c r="R79" s="13"/>
      <c r="S79" s="16"/>
      <c r="T79" s="13"/>
      <c r="U79" s="13"/>
      <c r="V79" s="13"/>
      <c r="W79" s="13"/>
      <c r="X79" s="13"/>
      <c r="Y79" s="13"/>
      <c r="Z79" s="13"/>
      <c r="AA79" s="13"/>
      <c r="AB79" s="13"/>
      <c r="AC79" s="16"/>
      <c r="AD79" s="13"/>
      <c r="AE79" s="13"/>
      <c r="AF79" s="13"/>
      <c r="AG79" s="13"/>
      <c r="AH79" s="13"/>
      <c r="AI79" s="21"/>
      <c r="AJ79" s="13"/>
      <c r="AK79" s="13"/>
      <c r="AL79" s="7"/>
      <c r="AM79" s="13"/>
      <c r="AN79" s="13"/>
      <c r="AO79" s="21"/>
      <c r="AP79" s="21"/>
      <c r="AQ79" s="21"/>
      <c r="AR79" s="21"/>
      <c r="AS79" s="21"/>
      <c r="AT79" s="21"/>
      <c r="AU79" s="21"/>
      <c r="AV79" s="21"/>
      <c r="AW79" s="19">
        <v>1</v>
      </c>
      <c r="AX79" s="40"/>
      <c r="AY79" s="13"/>
      <c r="AZ79" s="13"/>
      <c r="BA79" s="13"/>
      <c r="BB79" s="13"/>
      <c r="BC79" s="13"/>
      <c r="BE79" s="19">
        <v>1</v>
      </c>
    </row>
    <row r="80" spans="1:57" hidden="1" outlineLevel="1" x14ac:dyDescent="0.3">
      <c r="A80" s="1"/>
      <c r="B80" s="2">
        <v>13</v>
      </c>
      <c r="C80" s="2">
        <v>12</v>
      </c>
      <c r="D80" s="1" t="s">
        <v>74</v>
      </c>
      <c r="E80" s="13"/>
      <c r="F80" s="14"/>
      <c r="G80" s="16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3"/>
      <c r="S80" s="14"/>
      <c r="T80" s="13"/>
      <c r="U80" s="13"/>
      <c r="V80" s="13"/>
      <c r="W80" s="13"/>
      <c r="X80" s="13"/>
      <c r="Y80" s="13"/>
      <c r="Z80" s="13"/>
      <c r="AA80" s="13"/>
      <c r="AB80" s="13"/>
      <c r="AC80" s="14"/>
      <c r="AD80" s="13"/>
      <c r="AE80" s="13"/>
      <c r="AF80" s="13"/>
      <c r="AG80" s="13"/>
      <c r="AH80" s="13"/>
      <c r="AI80" s="21"/>
      <c r="AJ80" s="13"/>
      <c r="AK80" s="13"/>
      <c r="AL80" s="7"/>
      <c r="AM80" s="13"/>
      <c r="AN80" s="13"/>
      <c r="AO80" s="21"/>
      <c r="AP80" s="21"/>
      <c r="AQ80" s="21"/>
      <c r="AR80" s="21"/>
      <c r="AS80" s="21"/>
      <c r="AT80" s="21"/>
      <c r="AU80" s="21"/>
      <c r="AV80" s="21"/>
      <c r="AW80" s="39">
        <v>0</v>
      </c>
      <c r="AX80" s="13"/>
      <c r="AY80" s="13"/>
      <c r="AZ80" s="13"/>
      <c r="BA80" s="13"/>
      <c r="BB80" s="13"/>
      <c r="BC80" s="13"/>
      <c r="BE80" s="39">
        <v>0</v>
      </c>
    </row>
    <row r="81" spans="1:58" hidden="1" outlineLevel="1" x14ac:dyDescent="0.3">
      <c r="A81" s="1"/>
      <c r="B81" s="2">
        <v>11</v>
      </c>
      <c r="C81" s="2">
        <v>10</v>
      </c>
      <c r="D81" s="1" t="s">
        <v>75</v>
      </c>
      <c r="E81" s="13"/>
      <c r="F81" s="14"/>
      <c r="G81" s="16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3"/>
      <c r="S81" s="14"/>
      <c r="T81" s="13"/>
      <c r="U81" s="13"/>
      <c r="V81" s="13"/>
      <c r="W81" s="13"/>
      <c r="X81" s="13"/>
      <c r="Y81" s="13"/>
      <c r="Z81" s="13"/>
      <c r="AA81" s="13"/>
      <c r="AB81" s="13"/>
      <c r="AC81" s="14"/>
      <c r="AD81" s="13"/>
      <c r="AE81" s="13"/>
      <c r="AF81" s="13"/>
      <c r="AG81" s="13"/>
      <c r="AH81" s="13"/>
      <c r="AI81" s="21"/>
      <c r="AJ81" s="13"/>
      <c r="AK81" s="13"/>
      <c r="AL81" s="7"/>
      <c r="AM81" s="13"/>
      <c r="AN81" s="13"/>
      <c r="AO81" s="21"/>
      <c r="AP81" s="21"/>
      <c r="AQ81" s="21"/>
      <c r="AR81" s="21"/>
      <c r="AS81" s="21"/>
      <c r="AT81" s="21"/>
      <c r="AU81" s="21"/>
      <c r="AV81" s="21"/>
      <c r="AW81" s="39">
        <v>0</v>
      </c>
      <c r="AX81" s="13"/>
      <c r="AY81" s="13"/>
      <c r="AZ81" s="13"/>
      <c r="BA81" s="13"/>
      <c r="BB81" s="13"/>
      <c r="BC81" s="13"/>
      <c r="BE81" s="39">
        <v>0</v>
      </c>
    </row>
    <row r="82" spans="1:58" hidden="1" outlineLevel="1" x14ac:dyDescent="0.3">
      <c r="A82" s="1"/>
      <c r="B82" s="2">
        <v>9</v>
      </c>
      <c r="C82" s="2">
        <v>9</v>
      </c>
      <c r="D82" s="1" t="s">
        <v>76</v>
      </c>
      <c r="E82" s="13"/>
      <c r="F82" s="14"/>
      <c r="G82" s="16"/>
      <c r="H82" s="14"/>
      <c r="I82" s="16"/>
      <c r="J82" s="14"/>
      <c r="K82" s="14"/>
      <c r="L82" s="14"/>
      <c r="M82" s="16"/>
      <c r="N82" s="14"/>
      <c r="O82" s="14"/>
      <c r="P82" s="14"/>
      <c r="Q82" s="14"/>
      <c r="R82" s="13"/>
      <c r="S82" s="16"/>
      <c r="T82" s="13"/>
      <c r="U82" s="13"/>
      <c r="V82" s="13"/>
      <c r="W82" s="13"/>
      <c r="X82" s="13"/>
      <c r="Y82" s="13"/>
      <c r="Z82" s="13"/>
      <c r="AA82" s="13"/>
      <c r="AB82" s="13"/>
      <c r="AC82" s="16"/>
      <c r="AD82" s="13"/>
      <c r="AE82" s="13"/>
      <c r="AF82" s="13"/>
      <c r="AG82" s="13"/>
      <c r="AH82" s="13"/>
      <c r="AI82" s="21"/>
      <c r="AJ82" s="13"/>
      <c r="AK82" s="13"/>
      <c r="AL82" s="7"/>
      <c r="AM82" s="13"/>
      <c r="AN82" s="13"/>
      <c r="AO82" s="21"/>
      <c r="AP82" s="21"/>
      <c r="AQ82" s="21"/>
      <c r="AR82" s="21"/>
      <c r="AS82" s="21"/>
      <c r="AT82" s="21"/>
      <c r="AU82" s="21"/>
      <c r="AV82" s="21"/>
      <c r="AW82" s="19">
        <v>0</v>
      </c>
      <c r="AX82" s="40"/>
      <c r="AY82" s="13"/>
      <c r="AZ82" s="13"/>
      <c r="BA82" s="13"/>
      <c r="BB82" s="13"/>
      <c r="BC82" s="13"/>
      <c r="BE82" s="19">
        <v>0</v>
      </c>
    </row>
    <row r="83" spans="1:58" hidden="1" outlineLevel="1" x14ac:dyDescent="0.3">
      <c r="A83" s="1"/>
      <c r="B83" s="2">
        <v>8</v>
      </c>
      <c r="C83" s="2">
        <v>8</v>
      </c>
      <c r="D83" s="1" t="s">
        <v>77</v>
      </c>
      <c r="E83" s="13"/>
      <c r="F83" s="14"/>
      <c r="G83" s="16"/>
      <c r="H83" s="14"/>
      <c r="I83" s="16"/>
      <c r="J83" s="14"/>
      <c r="K83" s="14"/>
      <c r="L83" s="14"/>
      <c r="M83" s="16"/>
      <c r="N83" s="14"/>
      <c r="O83" s="14"/>
      <c r="P83" s="14"/>
      <c r="Q83" s="14"/>
      <c r="R83" s="13"/>
      <c r="S83" s="16"/>
      <c r="T83" s="13"/>
      <c r="U83" s="13"/>
      <c r="V83" s="13"/>
      <c r="W83" s="13"/>
      <c r="X83" s="13"/>
      <c r="Y83" s="13"/>
      <c r="Z83" s="13"/>
      <c r="AA83" s="13"/>
      <c r="AB83" s="13"/>
      <c r="AC83" s="16"/>
      <c r="AD83" s="13"/>
      <c r="AE83" s="13"/>
      <c r="AF83" s="13"/>
      <c r="AG83" s="13"/>
      <c r="AH83" s="13"/>
      <c r="AI83" s="21"/>
      <c r="AJ83" s="13"/>
      <c r="AK83" s="13"/>
      <c r="AL83" s="7"/>
      <c r="AM83" s="13"/>
      <c r="AN83" s="13"/>
      <c r="AO83" s="21"/>
      <c r="AP83" s="21"/>
      <c r="AQ83" s="21"/>
      <c r="AR83" s="21"/>
      <c r="AS83" s="21"/>
      <c r="AT83" s="21"/>
      <c r="AU83" s="21"/>
      <c r="AV83" s="21"/>
      <c r="AW83" s="19">
        <v>0</v>
      </c>
      <c r="AX83" s="40"/>
      <c r="AY83" s="13"/>
      <c r="AZ83" s="13"/>
      <c r="BA83" s="13"/>
      <c r="BB83" s="13"/>
      <c r="BC83" s="13"/>
      <c r="BE83" s="19">
        <v>0</v>
      </c>
    </row>
    <row r="84" spans="1:58" hidden="1" outlineLevel="1" x14ac:dyDescent="0.3">
      <c r="A84" s="1"/>
      <c r="B84" s="2">
        <v>7</v>
      </c>
      <c r="C84" s="2">
        <v>7</v>
      </c>
      <c r="D84" s="1" t="s">
        <v>78</v>
      </c>
      <c r="E84" s="13"/>
      <c r="F84" s="14"/>
      <c r="G84" s="16"/>
      <c r="H84" s="14"/>
      <c r="I84" s="16"/>
      <c r="J84" s="14"/>
      <c r="K84" s="14"/>
      <c r="L84" s="14"/>
      <c r="M84" s="16"/>
      <c r="N84" s="14"/>
      <c r="O84" s="14"/>
      <c r="P84" s="14"/>
      <c r="Q84" s="14"/>
      <c r="R84" s="13"/>
      <c r="S84" s="16"/>
      <c r="T84" s="13"/>
      <c r="U84" s="13"/>
      <c r="V84" s="13"/>
      <c r="W84" s="13"/>
      <c r="X84" s="13"/>
      <c r="Y84" s="13"/>
      <c r="Z84" s="13"/>
      <c r="AA84" s="13"/>
      <c r="AB84" s="13"/>
      <c r="AC84" s="16"/>
      <c r="AD84" s="13"/>
      <c r="AE84" s="13"/>
      <c r="AF84" s="13"/>
      <c r="AG84" s="13"/>
      <c r="AH84" s="13"/>
      <c r="AI84" s="21"/>
      <c r="AJ84" s="13"/>
      <c r="AK84" s="13"/>
      <c r="AL84" s="7"/>
      <c r="AM84" s="13"/>
      <c r="AN84" s="13"/>
      <c r="AO84" s="21"/>
      <c r="AP84" s="21"/>
      <c r="AQ84" s="21"/>
      <c r="AR84" s="21"/>
      <c r="AS84" s="21"/>
      <c r="AT84" s="21"/>
      <c r="AU84" s="21"/>
      <c r="AV84" s="21"/>
      <c r="AW84" s="19">
        <v>1</v>
      </c>
      <c r="AX84" s="40"/>
      <c r="AY84" s="13"/>
      <c r="AZ84" s="13"/>
      <c r="BA84" s="13"/>
      <c r="BB84" s="13"/>
      <c r="BC84" s="13"/>
      <c r="BE84" s="19">
        <v>1</v>
      </c>
    </row>
    <row r="85" spans="1:58" hidden="1" outlineLevel="1" x14ac:dyDescent="0.3">
      <c r="A85" s="1"/>
      <c r="B85" s="2">
        <v>6</v>
      </c>
      <c r="C85" s="2">
        <v>6</v>
      </c>
      <c r="D85" s="1" t="s">
        <v>79</v>
      </c>
      <c r="E85" s="13"/>
      <c r="F85" s="14"/>
      <c r="G85" s="16"/>
      <c r="H85" s="14"/>
      <c r="I85" s="16"/>
      <c r="J85" s="14"/>
      <c r="K85" s="14"/>
      <c r="L85" s="14"/>
      <c r="M85" s="16"/>
      <c r="N85" s="14"/>
      <c r="O85" s="14"/>
      <c r="P85" s="14"/>
      <c r="Q85" s="14"/>
      <c r="R85" s="13"/>
      <c r="S85" s="16"/>
      <c r="T85" s="13"/>
      <c r="U85" s="13"/>
      <c r="V85" s="13"/>
      <c r="W85" s="13"/>
      <c r="X85" s="13"/>
      <c r="Y85" s="13"/>
      <c r="Z85" s="13"/>
      <c r="AA85" s="13"/>
      <c r="AB85" s="13"/>
      <c r="AC85" s="16"/>
      <c r="AD85" s="13"/>
      <c r="AE85" s="13"/>
      <c r="AF85" s="13"/>
      <c r="AG85" s="13"/>
      <c r="AH85" s="13"/>
      <c r="AI85" s="21"/>
      <c r="AJ85" s="13"/>
      <c r="AK85" s="13"/>
      <c r="AL85" s="7"/>
      <c r="AM85" s="13"/>
      <c r="AN85" s="13"/>
      <c r="AO85" s="21"/>
      <c r="AP85" s="21"/>
      <c r="AQ85" s="21"/>
      <c r="AR85" s="21"/>
      <c r="AS85" s="21"/>
      <c r="AT85" s="21"/>
      <c r="AU85" s="21"/>
      <c r="AV85" s="21"/>
      <c r="AW85" s="19">
        <v>0</v>
      </c>
      <c r="AX85" s="40"/>
      <c r="AY85" s="13"/>
      <c r="AZ85" s="13"/>
      <c r="BA85" s="13"/>
      <c r="BB85" s="13"/>
      <c r="BC85" s="13"/>
      <c r="BE85" s="19">
        <v>0</v>
      </c>
    </row>
    <row r="86" spans="1:58" hidden="1" outlineLevel="1" x14ac:dyDescent="0.3">
      <c r="A86" s="1"/>
      <c r="B86" s="2">
        <v>5</v>
      </c>
      <c r="C86" s="2">
        <v>5</v>
      </c>
      <c r="D86" s="1" t="s">
        <v>80</v>
      </c>
      <c r="E86" s="13"/>
      <c r="F86" s="14"/>
      <c r="G86" s="16"/>
      <c r="H86" s="14"/>
      <c r="I86" s="16"/>
      <c r="J86" s="14"/>
      <c r="K86" s="14"/>
      <c r="L86" s="14"/>
      <c r="M86" s="16"/>
      <c r="N86" s="14"/>
      <c r="O86" s="14"/>
      <c r="P86" s="14"/>
      <c r="Q86" s="14"/>
      <c r="R86" s="13"/>
      <c r="S86" s="16"/>
      <c r="T86" s="13"/>
      <c r="U86" s="13"/>
      <c r="V86" s="13"/>
      <c r="W86" s="13"/>
      <c r="X86" s="13"/>
      <c r="Y86" s="13"/>
      <c r="Z86" s="13"/>
      <c r="AA86" s="13"/>
      <c r="AB86" s="13"/>
      <c r="AC86" s="16"/>
      <c r="AD86" s="13"/>
      <c r="AE86" s="13"/>
      <c r="AF86" s="13"/>
      <c r="AG86" s="13"/>
      <c r="AH86" s="13"/>
      <c r="AI86" s="21"/>
      <c r="AJ86" s="13"/>
      <c r="AK86" s="13"/>
      <c r="AL86" s="7"/>
      <c r="AM86" s="13"/>
      <c r="AN86" s="13"/>
      <c r="AO86" s="21"/>
      <c r="AP86" s="21"/>
      <c r="AQ86" s="21"/>
      <c r="AR86" s="21"/>
      <c r="AS86" s="21"/>
      <c r="AT86" s="21"/>
      <c r="AU86" s="21"/>
      <c r="AV86" s="21"/>
      <c r="AW86" s="19">
        <v>0</v>
      </c>
      <c r="AX86" s="40"/>
      <c r="AY86" s="13"/>
      <c r="AZ86" s="13"/>
      <c r="BA86" s="13"/>
      <c r="BB86" s="13"/>
      <c r="BC86" s="13"/>
      <c r="BE86" s="19">
        <v>0</v>
      </c>
    </row>
    <row r="87" spans="1:58" hidden="1" outlineLevel="1" x14ac:dyDescent="0.3">
      <c r="A87" s="1"/>
      <c r="B87" s="2">
        <v>4</v>
      </c>
      <c r="C87" s="2">
        <v>4</v>
      </c>
      <c r="D87" s="1" t="s">
        <v>81</v>
      </c>
      <c r="E87" s="13"/>
      <c r="F87" s="14"/>
      <c r="G87" s="16"/>
      <c r="H87" s="14"/>
      <c r="I87" s="16"/>
      <c r="J87" s="14"/>
      <c r="K87" s="14"/>
      <c r="L87" s="14"/>
      <c r="M87" s="16"/>
      <c r="N87" s="14"/>
      <c r="O87" s="14"/>
      <c r="P87" s="14"/>
      <c r="Q87" s="14"/>
      <c r="R87" s="13"/>
      <c r="S87" s="16"/>
      <c r="T87" s="13"/>
      <c r="U87" s="13"/>
      <c r="V87" s="13"/>
      <c r="W87" s="13"/>
      <c r="X87" s="13"/>
      <c r="Y87" s="13"/>
      <c r="Z87" s="13"/>
      <c r="AA87" s="13"/>
      <c r="AB87" s="13"/>
      <c r="AC87" s="16"/>
      <c r="AD87" s="13"/>
      <c r="AE87" s="13"/>
      <c r="AF87" s="13"/>
      <c r="AG87" s="13"/>
      <c r="AH87" s="13"/>
      <c r="AI87" s="21"/>
      <c r="AJ87" s="13"/>
      <c r="AK87" s="13"/>
      <c r="AL87" s="7"/>
      <c r="AM87" s="13"/>
      <c r="AN87" s="13"/>
      <c r="AO87" s="21"/>
      <c r="AP87" s="21"/>
      <c r="AQ87" s="21"/>
      <c r="AR87" s="21"/>
      <c r="AS87" s="21"/>
      <c r="AT87" s="21"/>
      <c r="AU87" s="21"/>
      <c r="AV87" s="21"/>
      <c r="AW87" s="19">
        <v>0</v>
      </c>
      <c r="AX87" s="40"/>
      <c r="AY87" s="13"/>
      <c r="AZ87" s="13"/>
      <c r="BA87" s="13"/>
      <c r="BB87" s="13"/>
      <c r="BC87" s="13"/>
      <c r="BE87" s="19">
        <v>0</v>
      </c>
    </row>
    <row r="88" spans="1:58" hidden="1" outlineLevel="1" x14ac:dyDescent="0.3">
      <c r="A88" s="1"/>
      <c r="B88" s="2">
        <v>3</v>
      </c>
      <c r="C88" s="2">
        <v>3</v>
      </c>
      <c r="D88" s="1" t="s">
        <v>82</v>
      </c>
      <c r="E88" s="13"/>
      <c r="F88" s="14"/>
      <c r="G88" s="16"/>
      <c r="H88" s="14"/>
      <c r="I88" s="16"/>
      <c r="J88" s="14"/>
      <c r="K88" s="14"/>
      <c r="L88" s="14"/>
      <c r="M88" s="16"/>
      <c r="N88" s="14"/>
      <c r="O88" s="14"/>
      <c r="P88" s="14"/>
      <c r="Q88" s="14"/>
      <c r="R88" s="13"/>
      <c r="S88" s="16"/>
      <c r="T88" s="13"/>
      <c r="U88" s="13"/>
      <c r="V88" s="13"/>
      <c r="W88" s="13"/>
      <c r="X88" s="13"/>
      <c r="Y88" s="13"/>
      <c r="Z88" s="13"/>
      <c r="AA88" s="13"/>
      <c r="AB88" s="13"/>
      <c r="AC88" s="16"/>
      <c r="AD88" s="13"/>
      <c r="AE88" s="13"/>
      <c r="AF88" s="13"/>
      <c r="AG88" s="13"/>
      <c r="AH88" s="13"/>
      <c r="AI88" s="21"/>
      <c r="AJ88" s="13"/>
      <c r="AK88" s="13"/>
      <c r="AL88" s="7"/>
      <c r="AM88" s="13"/>
      <c r="AN88" s="13"/>
      <c r="AO88" s="21"/>
      <c r="AP88" s="21"/>
      <c r="AQ88" s="21"/>
      <c r="AR88" s="21"/>
      <c r="AS88" s="21"/>
      <c r="AT88" s="21"/>
      <c r="AU88" s="21"/>
      <c r="AV88" s="21"/>
      <c r="AW88" s="19">
        <v>0</v>
      </c>
      <c r="AX88" s="40"/>
      <c r="AY88" s="13"/>
      <c r="AZ88" s="13"/>
      <c r="BA88" s="13"/>
      <c r="BB88" s="13"/>
      <c r="BC88" s="13"/>
      <c r="BE88" s="19">
        <v>0</v>
      </c>
    </row>
    <row r="89" spans="1:58" hidden="1" outlineLevel="1" x14ac:dyDescent="0.3">
      <c r="A89" s="1"/>
      <c r="B89" s="2">
        <v>2</v>
      </c>
      <c r="C89" s="2">
        <v>2</v>
      </c>
      <c r="D89" s="1" t="s">
        <v>83</v>
      </c>
      <c r="E89" s="13"/>
      <c r="F89" s="14"/>
      <c r="G89" s="16"/>
      <c r="H89" s="14"/>
      <c r="I89" s="16"/>
      <c r="J89" s="14"/>
      <c r="K89" s="14"/>
      <c r="L89" s="14"/>
      <c r="M89" s="16"/>
      <c r="N89" s="14"/>
      <c r="O89" s="14"/>
      <c r="P89" s="14"/>
      <c r="Q89" s="14"/>
      <c r="R89" s="13"/>
      <c r="S89" s="16"/>
      <c r="T89" s="13"/>
      <c r="U89" s="13"/>
      <c r="V89" s="13"/>
      <c r="W89" s="13"/>
      <c r="X89" s="13"/>
      <c r="Y89" s="13"/>
      <c r="Z89" s="13"/>
      <c r="AA89" s="13"/>
      <c r="AB89" s="13"/>
      <c r="AC89" s="16"/>
      <c r="AD89" s="13"/>
      <c r="AE89" s="13"/>
      <c r="AF89" s="13"/>
      <c r="AG89" s="13"/>
      <c r="AH89" s="13"/>
      <c r="AI89" s="21"/>
      <c r="AJ89" s="13"/>
      <c r="AK89" s="13"/>
      <c r="AL89" s="7"/>
      <c r="AM89" s="13"/>
      <c r="AN89" s="13"/>
      <c r="AO89" s="21"/>
      <c r="AP89" s="21"/>
      <c r="AQ89" s="21"/>
      <c r="AR89" s="21"/>
      <c r="AS89" s="21"/>
      <c r="AT89" s="21"/>
      <c r="AU89" s="21"/>
      <c r="AV89" s="21"/>
      <c r="AW89" s="19">
        <v>0</v>
      </c>
      <c r="AX89" s="40"/>
      <c r="AY89" s="13"/>
      <c r="AZ89" s="13"/>
      <c r="BA89" s="13"/>
      <c r="BB89" s="13"/>
      <c r="BC89" s="13"/>
      <c r="BE89" s="19">
        <v>0</v>
      </c>
    </row>
    <row r="90" spans="1:58" hidden="1" outlineLevel="1" x14ac:dyDescent="0.3">
      <c r="A90" s="1"/>
      <c r="B90" s="2">
        <v>1</v>
      </c>
      <c r="C90" s="2">
        <v>0</v>
      </c>
      <c r="D90" s="1" t="s">
        <v>84</v>
      </c>
      <c r="E90" s="13"/>
      <c r="F90" s="14"/>
      <c r="G90" s="16"/>
      <c r="H90" s="14"/>
      <c r="I90" s="16"/>
      <c r="J90" s="14"/>
      <c r="K90" s="14"/>
      <c r="L90" s="14"/>
      <c r="M90" s="16"/>
      <c r="N90" s="14"/>
      <c r="O90" s="14"/>
      <c r="P90" s="14"/>
      <c r="Q90" s="14"/>
      <c r="R90" s="13"/>
      <c r="S90" s="16"/>
      <c r="T90" s="13"/>
      <c r="U90" s="13"/>
      <c r="V90" s="13"/>
      <c r="W90" s="13"/>
      <c r="X90" s="13"/>
      <c r="Y90" s="13"/>
      <c r="Z90" s="13"/>
      <c r="AA90" s="13"/>
      <c r="AB90" s="13"/>
      <c r="AC90" s="16"/>
      <c r="AD90" s="13"/>
      <c r="AE90" s="13"/>
      <c r="AF90" s="13"/>
      <c r="AG90" s="13"/>
      <c r="AH90" s="13"/>
      <c r="AI90" s="21"/>
      <c r="AJ90" s="13"/>
      <c r="AK90" s="13"/>
      <c r="AL90" s="7"/>
      <c r="AM90" s="13"/>
      <c r="AN90" s="13"/>
      <c r="AO90" s="21"/>
      <c r="AP90" s="21"/>
      <c r="AQ90" s="21"/>
      <c r="AR90" s="21"/>
      <c r="AS90" s="21"/>
      <c r="AT90" s="21"/>
      <c r="AU90" s="21"/>
      <c r="AV90" s="21"/>
      <c r="AW90" s="19">
        <v>0</v>
      </c>
      <c r="AX90" s="40"/>
      <c r="AY90" s="13"/>
      <c r="AZ90" s="13"/>
      <c r="BA90" s="13"/>
      <c r="BB90" s="13"/>
      <c r="BC90" s="13"/>
      <c r="BE90" s="19">
        <v>0</v>
      </c>
    </row>
    <row r="91" spans="1:58" collapsed="1" x14ac:dyDescent="0.3">
      <c r="A91" s="7" t="s">
        <v>381</v>
      </c>
      <c r="F91" s="12"/>
      <c r="G91" s="66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BE91" s="20" t="str">
        <f>BitsTo32Bit(BE92:BE103)</f>
        <v>050004A</v>
      </c>
      <c r="BF91"/>
    </row>
    <row r="92" spans="1:58" hidden="1" outlineLevel="1" x14ac:dyDescent="0.3">
      <c r="B92" s="7">
        <v>31</v>
      </c>
      <c r="C92" s="7">
        <v>27</v>
      </c>
      <c r="D92" s="7" t="s">
        <v>1</v>
      </c>
      <c r="F92" s="12"/>
      <c r="G92" s="67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BE92" s="65">
        <v>0</v>
      </c>
      <c r="BF92"/>
    </row>
    <row r="93" spans="1:58" hidden="1" outlineLevel="1" x14ac:dyDescent="0.3">
      <c r="B93" s="7">
        <v>26</v>
      </c>
      <c r="C93" s="7">
        <v>26</v>
      </c>
      <c r="D93" s="7" t="s">
        <v>382</v>
      </c>
      <c r="F93" s="12"/>
      <c r="G93" s="67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BE93" s="65">
        <v>0</v>
      </c>
      <c r="BF93"/>
    </row>
    <row r="94" spans="1:58" hidden="1" outlineLevel="1" x14ac:dyDescent="0.3">
      <c r="B94" s="7">
        <v>25</v>
      </c>
      <c r="C94" s="7">
        <v>25</v>
      </c>
      <c r="D94" s="7" t="s">
        <v>383</v>
      </c>
      <c r="F94" s="12"/>
      <c r="G94" s="67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BE94" s="65">
        <v>0</v>
      </c>
      <c r="BF94"/>
    </row>
    <row r="95" spans="1:58" hidden="1" outlineLevel="1" x14ac:dyDescent="0.3">
      <c r="B95" s="7">
        <v>24</v>
      </c>
      <c r="C95" s="7">
        <v>24</v>
      </c>
      <c r="D95" s="7" t="s">
        <v>384</v>
      </c>
      <c r="F95" s="12"/>
      <c r="G95" s="67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BE95" s="65">
        <v>0</v>
      </c>
      <c r="BF95"/>
    </row>
    <row r="96" spans="1:58" hidden="1" outlineLevel="1" x14ac:dyDescent="0.3">
      <c r="B96" s="7">
        <v>23</v>
      </c>
      <c r="C96" s="7">
        <v>23</v>
      </c>
      <c r="D96" s="7" t="s">
        <v>385</v>
      </c>
      <c r="F96" s="12"/>
      <c r="G96" s="67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BE96" s="65">
        <v>0</v>
      </c>
      <c r="BF96"/>
    </row>
    <row r="97" spans="1:58" hidden="1" outlineLevel="1" x14ac:dyDescent="0.3">
      <c r="B97" s="7">
        <v>22</v>
      </c>
      <c r="C97" s="7">
        <v>19</v>
      </c>
      <c r="D97" s="7" t="s">
        <v>386</v>
      </c>
      <c r="F97" s="12"/>
      <c r="G97" s="67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BE97" s="65" t="s">
        <v>333</v>
      </c>
      <c r="BF97"/>
    </row>
    <row r="98" spans="1:58" hidden="1" outlineLevel="1" x14ac:dyDescent="0.3">
      <c r="B98" s="7">
        <v>18</v>
      </c>
      <c r="C98" s="7">
        <v>13</v>
      </c>
      <c r="D98" s="7" t="s">
        <v>387</v>
      </c>
      <c r="F98" s="12"/>
      <c r="G98" s="67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BE98" s="65">
        <v>0</v>
      </c>
      <c r="BF98"/>
    </row>
    <row r="99" spans="1:58" hidden="1" outlineLevel="1" x14ac:dyDescent="0.3">
      <c r="B99" s="7">
        <v>12</v>
      </c>
      <c r="C99" s="7">
        <v>7</v>
      </c>
      <c r="D99" s="7" t="s">
        <v>388</v>
      </c>
      <c r="F99" s="12"/>
      <c r="G99" s="67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BE99" s="65">
        <v>0</v>
      </c>
      <c r="BF99"/>
    </row>
    <row r="100" spans="1:58" hidden="1" outlineLevel="1" x14ac:dyDescent="0.3">
      <c r="B100" s="7">
        <v>6</v>
      </c>
      <c r="C100" s="7">
        <v>6</v>
      </c>
      <c r="D100" s="7" t="s">
        <v>389</v>
      </c>
      <c r="F100" s="12"/>
      <c r="G100" s="67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BE100" s="65">
        <v>1</v>
      </c>
      <c r="BF100"/>
    </row>
    <row r="101" spans="1:58" hidden="1" outlineLevel="1" x14ac:dyDescent="0.3">
      <c r="B101" s="7">
        <v>5</v>
      </c>
      <c r="C101" s="7">
        <v>5</v>
      </c>
      <c r="D101" s="7" t="s">
        <v>1</v>
      </c>
      <c r="F101" s="12"/>
      <c r="G101" s="67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BE101" s="65">
        <v>0</v>
      </c>
      <c r="BF101"/>
    </row>
    <row r="102" spans="1:58" hidden="1" outlineLevel="1" x14ac:dyDescent="0.3">
      <c r="B102" s="7">
        <v>4</v>
      </c>
      <c r="C102" s="7">
        <v>1</v>
      </c>
      <c r="D102" s="7" t="s">
        <v>390</v>
      </c>
      <c r="F102" s="12"/>
      <c r="G102" s="67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BE102" s="65">
        <v>5</v>
      </c>
      <c r="BF102"/>
    </row>
    <row r="103" spans="1:58" hidden="1" outlineLevel="1" x14ac:dyDescent="0.3">
      <c r="B103" s="7">
        <v>0</v>
      </c>
      <c r="C103" s="7">
        <v>0</v>
      </c>
      <c r="D103" s="7" t="s">
        <v>391</v>
      </c>
      <c r="F103" s="12"/>
      <c r="G103" s="67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BE103" s="65">
        <v>0</v>
      </c>
      <c r="BF103"/>
    </row>
    <row r="104" spans="1:58" collapsed="1" x14ac:dyDescent="0.3">
      <c r="A104" s="7" t="s">
        <v>392</v>
      </c>
      <c r="F104" s="12"/>
      <c r="G104" s="66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BE104" s="20" t="str">
        <f>BitsTo32Bit(BE105:BE108)</f>
        <v>1C</v>
      </c>
      <c r="BF104"/>
    </row>
    <row r="105" spans="1:58" hidden="1" outlineLevel="1" x14ac:dyDescent="0.3">
      <c r="B105" s="7">
        <v>31</v>
      </c>
      <c r="C105" s="7">
        <v>9</v>
      </c>
      <c r="D105" s="7" t="s">
        <v>1</v>
      </c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BE105" s="65">
        <v>0</v>
      </c>
      <c r="BF105"/>
    </row>
    <row r="106" spans="1:58" hidden="1" outlineLevel="1" x14ac:dyDescent="0.3">
      <c r="B106" s="7">
        <v>8</v>
      </c>
      <c r="C106" s="7">
        <v>8</v>
      </c>
      <c r="D106" s="7" t="s">
        <v>393</v>
      </c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BE106" s="65">
        <v>0</v>
      </c>
      <c r="BF106"/>
    </row>
    <row r="107" spans="1:58" hidden="1" outlineLevel="1" x14ac:dyDescent="0.3">
      <c r="B107" s="7">
        <v>7</v>
      </c>
      <c r="C107" s="7">
        <v>6</v>
      </c>
      <c r="D107" s="7" t="s">
        <v>1</v>
      </c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BE107" s="65">
        <v>0</v>
      </c>
      <c r="BF107"/>
    </row>
    <row r="108" spans="1:58" hidden="1" outlineLevel="1" x14ac:dyDescent="0.3">
      <c r="B108" s="7">
        <v>5</v>
      </c>
      <c r="C108" s="7">
        <v>0</v>
      </c>
      <c r="D108" s="7" t="s">
        <v>394</v>
      </c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BE108" s="65" t="s">
        <v>458</v>
      </c>
      <c r="BF108"/>
    </row>
    <row r="109" spans="1:58" collapsed="1" x14ac:dyDescent="0.3">
      <c r="A109" s="1" t="s">
        <v>85</v>
      </c>
      <c r="B109" s="2"/>
      <c r="C109" s="2"/>
      <c r="D109" s="1"/>
      <c r="E109" s="13"/>
      <c r="F109" s="14"/>
      <c r="G109" s="14"/>
      <c r="H109" s="14"/>
      <c r="I109" s="14"/>
      <c r="J109" s="14"/>
      <c r="K109" s="16"/>
      <c r="L109" s="14"/>
      <c r="M109" s="14"/>
      <c r="N109" s="14"/>
      <c r="O109" s="14"/>
      <c r="P109" s="14"/>
      <c r="Q109" s="14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7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7"/>
      <c r="AX109" s="7"/>
      <c r="AY109" s="45" t="str">
        <f>BitsTo32Bit(AY110:AY123)</f>
        <v>104</v>
      </c>
      <c r="AZ109" s="21"/>
      <c r="BA109" s="45" t="str">
        <f>BitsTo32Bit(BA110:BA123)</f>
        <v>06206</v>
      </c>
      <c r="BB109" s="21"/>
      <c r="BC109" s="45" t="str">
        <f>BitsTo32Bit(BC110:BC123)</f>
        <v>06206</v>
      </c>
      <c r="BE109" s="45" t="str">
        <f>BitsTo32Bit(BE110:BE123)</f>
        <v>4</v>
      </c>
    </row>
    <row r="110" spans="1:58" ht="15" hidden="1" customHeight="1" outlineLevel="1" x14ac:dyDescent="0.3">
      <c r="A110" s="1"/>
      <c r="B110" s="2">
        <v>31</v>
      </c>
      <c r="C110" s="2">
        <v>13</v>
      </c>
      <c r="D110" s="1" t="s">
        <v>1</v>
      </c>
      <c r="E110" s="13"/>
      <c r="F110" s="14"/>
      <c r="G110" s="16"/>
      <c r="H110" s="14"/>
      <c r="I110" s="14"/>
      <c r="J110" s="14"/>
      <c r="K110" s="14"/>
      <c r="L110" s="14"/>
      <c r="M110" s="16"/>
      <c r="N110" s="14"/>
      <c r="O110" s="14"/>
      <c r="P110" s="14"/>
      <c r="Q110" s="14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7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7"/>
      <c r="AX110" s="7"/>
      <c r="AY110" s="29">
        <v>0</v>
      </c>
      <c r="AZ110" s="21"/>
      <c r="BA110" s="29">
        <v>0</v>
      </c>
      <c r="BB110" s="21"/>
      <c r="BC110" s="29">
        <v>0</v>
      </c>
      <c r="BE110" s="29">
        <v>0</v>
      </c>
    </row>
    <row r="111" spans="1:58" ht="15" hidden="1" customHeight="1" outlineLevel="1" x14ac:dyDescent="0.3">
      <c r="A111" s="1"/>
      <c r="B111" s="2">
        <v>14</v>
      </c>
      <c r="C111" s="2">
        <v>14</v>
      </c>
      <c r="D111" s="1" t="s">
        <v>308</v>
      </c>
      <c r="E111" s="13"/>
      <c r="F111" s="14"/>
      <c r="G111" s="16"/>
      <c r="H111" s="14"/>
      <c r="I111" s="14"/>
      <c r="J111" s="14"/>
      <c r="K111" s="14"/>
      <c r="L111" s="14"/>
      <c r="M111" s="16"/>
      <c r="N111" s="14"/>
      <c r="O111" s="14"/>
      <c r="P111" s="14"/>
      <c r="Q111" s="14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7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7"/>
      <c r="AX111" s="7"/>
      <c r="AY111" s="29">
        <v>0</v>
      </c>
      <c r="AZ111" s="21"/>
      <c r="BA111" s="29">
        <v>1</v>
      </c>
      <c r="BB111" s="21"/>
      <c r="BC111" s="29">
        <v>1</v>
      </c>
      <c r="BE111" s="29">
        <v>0</v>
      </c>
    </row>
    <row r="112" spans="1:58" ht="15" hidden="1" customHeight="1" outlineLevel="1" x14ac:dyDescent="0.3">
      <c r="A112" s="1"/>
      <c r="B112" s="2">
        <v>13</v>
      </c>
      <c r="C112" s="2">
        <v>13</v>
      </c>
      <c r="D112" s="1" t="s">
        <v>309</v>
      </c>
      <c r="E112" s="13"/>
      <c r="F112" s="14"/>
      <c r="G112" s="16"/>
      <c r="H112" s="14"/>
      <c r="I112" s="14"/>
      <c r="J112" s="14"/>
      <c r="K112" s="14"/>
      <c r="L112" s="14"/>
      <c r="M112" s="16"/>
      <c r="N112" s="14"/>
      <c r="O112" s="14"/>
      <c r="P112" s="14"/>
      <c r="Q112" s="14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7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7"/>
      <c r="AX112" s="7"/>
      <c r="AY112" s="29">
        <v>0</v>
      </c>
      <c r="AZ112" s="21"/>
      <c r="BA112" s="29">
        <v>1</v>
      </c>
      <c r="BB112" s="21"/>
      <c r="BC112" s="29">
        <v>1</v>
      </c>
      <c r="BE112" s="29">
        <v>0</v>
      </c>
    </row>
    <row r="113" spans="1:57" ht="15" hidden="1" customHeight="1" outlineLevel="1" x14ac:dyDescent="0.3">
      <c r="A113" s="1"/>
      <c r="B113" s="2">
        <v>12</v>
      </c>
      <c r="C113" s="2">
        <v>12</v>
      </c>
      <c r="D113" s="1" t="s">
        <v>86</v>
      </c>
      <c r="E113" s="13"/>
      <c r="F113" s="14"/>
      <c r="G113" s="16"/>
      <c r="H113" s="14"/>
      <c r="I113" s="14"/>
      <c r="J113" s="14"/>
      <c r="K113" s="14"/>
      <c r="L113" s="14"/>
      <c r="M113" s="16"/>
      <c r="N113" s="14"/>
      <c r="O113" s="14"/>
      <c r="P113" s="14"/>
      <c r="Q113" s="14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7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7"/>
      <c r="AX113" s="7"/>
      <c r="AY113" s="29">
        <v>0</v>
      </c>
      <c r="AZ113" s="21"/>
      <c r="BA113" s="29">
        <v>0</v>
      </c>
      <c r="BB113" s="21"/>
      <c r="BC113" s="29">
        <v>0</v>
      </c>
      <c r="BE113" s="29">
        <v>0</v>
      </c>
    </row>
    <row r="114" spans="1:57" ht="15" hidden="1" customHeight="1" outlineLevel="1" x14ac:dyDescent="0.3">
      <c r="A114" s="1"/>
      <c r="B114" s="2">
        <v>11</v>
      </c>
      <c r="C114" s="2">
        <v>11</v>
      </c>
      <c r="D114" s="1" t="s">
        <v>87</v>
      </c>
      <c r="E114" s="13"/>
      <c r="F114" s="14"/>
      <c r="G114" s="16"/>
      <c r="H114" s="14"/>
      <c r="I114" s="14"/>
      <c r="J114" s="14"/>
      <c r="K114" s="14"/>
      <c r="L114" s="14"/>
      <c r="M114" s="16"/>
      <c r="N114" s="14"/>
      <c r="O114" s="14"/>
      <c r="P114" s="14"/>
      <c r="Q114" s="14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7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7"/>
      <c r="AX114" s="7"/>
      <c r="AY114" s="29">
        <v>0</v>
      </c>
      <c r="AZ114" s="21"/>
      <c r="BA114" s="29">
        <v>0</v>
      </c>
      <c r="BB114" s="21"/>
      <c r="BC114" s="29">
        <v>0</v>
      </c>
      <c r="BE114" s="29">
        <v>0</v>
      </c>
    </row>
    <row r="115" spans="1:57" ht="15" hidden="1" customHeight="1" outlineLevel="1" x14ac:dyDescent="0.3">
      <c r="A115" s="1"/>
      <c r="B115" s="2">
        <v>10</v>
      </c>
      <c r="C115" s="2">
        <v>10</v>
      </c>
      <c r="D115" s="1" t="s">
        <v>88</v>
      </c>
      <c r="E115" s="13"/>
      <c r="F115" s="14"/>
      <c r="G115" s="16"/>
      <c r="H115" s="14"/>
      <c r="I115" s="14"/>
      <c r="J115" s="14"/>
      <c r="K115" s="14"/>
      <c r="L115" s="14"/>
      <c r="M115" s="16"/>
      <c r="N115" s="14"/>
      <c r="O115" s="14"/>
      <c r="P115" s="14"/>
      <c r="Q115" s="14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7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7"/>
      <c r="AX115" s="7"/>
      <c r="AY115" s="29">
        <v>0</v>
      </c>
      <c r="AZ115" s="21"/>
      <c r="BA115" s="29">
        <v>0</v>
      </c>
      <c r="BB115" s="21"/>
      <c r="BC115" s="29">
        <v>0</v>
      </c>
      <c r="BE115" s="29">
        <v>0</v>
      </c>
    </row>
    <row r="116" spans="1:57" ht="15" hidden="1" customHeight="1" outlineLevel="1" x14ac:dyDescent="0.3">
      <c r="A116" s="1"/>
      <c r="B116" s="2">
        <v>9</v>
      </c>
      <c r="C116" s="2">
        <v>9</v>
      </c>
      <c r="D116" s="1" t="s">
        <v>89</v>
      </c>
      <c r="E116" s="13"/>
      <c r="F116" s="14"/>
      <c r="G116" s="16"/>
      <c r="H116" s="14"/>
      <c r="I116" s="14"/>
      <c r="J116" s="14"/>
      <c r="K116" s="14"/>
      <c r="L116" s="14"/>
      <c r="M116" s="16"/>
      <c r="N116" s="14"/>
      <c r="O116" s="14"/>
      <c r="P116" s="14"/>
      <c r="Q116" s="14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7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7"/>
      <c r="AX116" s="7"/>
      <c r="AY116" s="29">
        <v>0</v>
      </c>
      <c r="AZ116" s="21"/>
      <c r="BA116" s="29">
        <v>1</v>
      </c>
      <c r="BB116" s="21"/>
      <c r="BC116" s="29">
        <v>1</v>
      </c>
      <c r="BE116" s="29">
        <v>0</v>
      </c>
    </row>
    <row r="117" spans="1:57" ht="15" hidden="1" customHeight="1" outlineLevel="1" x14ac:dyDescent="0.3">
      <c r="A117" s="1"/>
      <c r="B117" s="2">
        <v>8</v>
      </c>
      <c r="C117" s="2">
        <v>8</v>
      </c>
      <c r="D117" s="1" t="s">
        <v>90</v>
      </c>
      <c r="E117" s="13"/>
      <c r="F117" s="14"/>
      <c r="G117" s="16"/>
      <c r="H117" s="14"/>
      <c r="I117" s="14"/>
      <c r="J117" s="14"/>
      <c r="K117" s="14"/>
      <c r="L117" s="14"/>
      <c r="M117" s="16"/>
      <c r="N117" s="14"/>
      <c r="O117" s="14"/>
      <c r="P117" s="14"/>
      <c r="Q117" s="14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7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7"/>
      <c r="AX117" s="7"/>
      <c r="AY117" s="29">
        <v>1</v>
      </c>
      <c r="AZ117" s="21"/>
      <c r="BA117" s="29">
        <v>0</v>
      </c>
      <c r="BB117" s="21"/>
      <c r="BC117" s="29">
        <v>0</v>
      </c>
      <c r="BE117" s="29">
        <v>0</v>
      </c>
    </row>
    <row r="118" spans="1:57" ht="15" hidden="1" customHeight="1" outlineLevel="1" x14ac:dyDescent="0.3">
      <c r="A118" s="1"/>
      <c r="B118" s="2">
        <v>7</v>
      </c>
      <c r="C118" s="2">
        <v>7</v>
      </c>
      <c r="D118" s="1" t="s">
        <v>91</v>
      </c>
      <c r="E118" s="13"/>
      <c r="F118" s="14"/>
      <c r="G118" s="16"/>
      <c r="H118" s="14"/>
      <c r="I118" s="14"/>
      <c r="J118" s="14"/>
      <c r="K118" s="14"/>
      <c r="L118" s="14"/>
      <c r="M118" s="16"/>
      <c r="N118" s="14"/>
      <c r="O118" s="14"/>
      <c r="P118" s="14"/>
      <c r="Q118" s="14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7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7"/>
      <c r="AX118" s="7"/>
      <c r="AY118" s="29">
        <v>0</v>
      </c>
      <c r="AZ118" s="21"/>
      <c r="BA118" s="29">
        <v>0</v>
      </c>
      <c r="BB118" s="21"/>
      <c r="BC118" s="29">
        <v>0</v>
      </c>
      <c r="BE118" s="29">
        <v>0</v>
      </c>
    </row>
    <row r="119" spans="1:57" ht="15" hidden="1" customHeight="1" outlineLevel="1" x14ac:dyDescent="0.3">
      <c r="A119" s="1"/>
      <c r="B119" s="2">
        <v>6</v>
      </c>
      <c r="C119" s="2">
        <v>6</v>
      </c>
      <c r="D119" s="1" t="s">
        <v>92</v>
      </c>
      <c r="E119" s="13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7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7"/>
      <c r="AX119" s="7"/>
      <c r="AY119" s="29">
        <v>0</v>
      </c>
      <c r="AZ119" s="21"/>
      <c r="BA119" s="29">
        <v>0</v>
      </c>
      <c r="BB119" s="21"/>
      <c r="BC119" s="29">
        <v>0</v>
      </c>
      <c r="BE119" s="29">
        <v>0</v>
      </c>
    </row>
    <row r="120" spans="1:57" ht="15" hidden="1" customHeight="1" outlineLevel="1" x14ac:dyDescent="0.3">
      <c r="A120" s="1"/>
      <c r="B120" s="2">
        <v>5</v>
      </c>
      <c r="C120" s="2">
        <v>5</v>
      </c>
      <c r="D120" s="1" t="s">
        <v>93</v>
      </c>
      <c r="E120" s="13"/>
      <c r="F120" s="14"/>
      <c r="G120" s="16"/>
      <c r="H120" s="14"/>
      <c r="I120" s="14"/>
      <c r="J120" s="14"/>
      <c r="K120" s="14"/>
      <c r="L120" s="14"/>
      <c r="M120" s="16"/>
      <c r="N120" s="14"/>
      <c r="O120" s="14"/>
      <c r="P120" s="14"/>
      <c r="Q120" s="14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7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7"/>
      <c r="AX120" s="7"/>
      <c r="AY120" s="29">
        <v>0</v>
      </c>
      <c r="AZ120" s="21"/>
      <c r="BA120" s="29">
        <v>0</v>
      </c>
      <c r="BB120" s="21"/>
      <c r="BC120" s="29">
        <v>0</v>
      </c>
      <c r="BE120" s="29">
        <v>0</v>
      </c>
    </row>
    <row r="121" spans="1:57" ht="15" hidden="1" customHeight="1" outlineLevel="1" x14ac:dyDescent="0.3">
      <c r="A121" s="1"/>
      <c r="B121" s="2">
        <v>4</v>
      </c>
      <c r="C121" s="2">
        <v>3</v>
      </c>
      <c r="D121" s="1" t="s">
        <v>94</v>
      </c>
      <c r="E121" s="13"/>
      <c r="F121" s="14"/>
      <c r="G121" s="16"/>
      <c r="H121" s="14"/>
      <c r="I121" s="14"/>
      <c r="J121" s="14"/>
      <c r="K121" s="14"/>
      <c r="L121" s="14"/>
      <c r="M121" s="16"/>
      <c r="N121" s="14"/>
      <c r="O121" s="14"/>
      <c r="P121" s="14"/>
      <c r="Q121" s="14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7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7"/>
      <c r="AX121" s="7"/>
      <c r="AY121" s="29">
        <v>0</v>
      </c>
      <c r="AZ121" s="21"/>
      <c r="BA121" s="29">
        <v>0</v>
      </c>
      <c r="BB121" s="21"/>
      <c r="BC121" s="29">
        <v>0</v>
      </c>
      <c r="BE121" s="29">
        <v>0</v>
      </c>
    </row>
    <row r="122" spans="1:57" ht="15" hidden="1" customHeight="1" outlineLevel="1" x14ac:dyDescent="0.3">
      <c r="A122" s="1"/>
      <c r="B122" s="2">
        <v>2</v>
      </c>
      <c r="C122" s="2">
        <v>2</v>
      </c>
      <c r="D122" s="1" t="s">
        <v>95</v>
      </c>
      <c r="E122" s="13"/>
      <c r="F122" s="14"/>
      <c r="G122" s="16"/>
      <c r="H122" s="14"/>
      <c r="I122" s="14"/>
      <c r="J122" s="14"/>
      <c r="K122" s="14"/>
      <c r="L122" s="14"/>
      <c r="M122" s="16"/>
      <c r="N122" s="14"/>
      <c r="O122" s="14"/>
      <c r="P122" s="14"/>
      <c r="Q122" s="14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7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7"/>
      <c r="AX122" s="7"/>
      <c r="AY122" s="29">
        <v>1</v>
      </c>
      <c r="AZ122" s="21"/>
      <c r="BA122" s="29">
        <v>1</v>
      </c>
      <c r="BB122" s="21"/>
      <c r="BC122" s="29">
        <v>1</v>
      </c>
      <c r="BE122" s="29">
        <v>1</v>
      </c>
    </row>
    <row r="123" spans="1:57" ht="15" hidden="1" customHeight="1" outlineLevel="1" x14ac:dyDescent="0.3">
      <c r="A123" s="1"/>
      <c r="B123" s="2">
        <v>1</v>
      </c>
      <c r="C123" s="2">
        <v>0</v>
      </c>
      <c r="D123" s="1" t="s">
        <v>96</v>
      </c>
      <c r="E123" s="13"/>
      <c r="F123" s="14"/>
      <c r="G123" s="16"/>
      <c r="H123" s="14"/>
      <c r="I123" s="14"/>
      <c r="J123" s="14"/>
      <c r="K123" s="14"/>
      <c r="L123" s="14"/>
      <c r="M123" s="16"/>
      <c r="N123" s="14"/>
      <c r="O123" s="14"/>
      <c r="P123" s="14"/>
      <c r="Q123" s="14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7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7"/>
      <c r="AX123" s="7"/>
      <c r="AY123" s="29">
        <v>0</v>
      </c>
      <c r="AZ123" s="21"/>
      <c r="BA123" s="29">
        <v>2</v>
      </c>
      <c r="BB123" s="21"/>
      <c r="BC123" s="29">
        <v>2</v>
      </c>
      <c r="BE123" s="29">
        <v>0</v>
      </c>
    </row>
    <row r="124" spans="1:57" collapsed="1" x14ac:dyDescent="0.3">
      <c r="A124" s="5" t="s">
        <v>45</v>
      </c>
      <c r="B124" s="6"/>
      <c r="C124" s="6"/>
      <c r="D124" s="5"/>
      <c r="E124" s="13"/>
      <c r="F124" s="14"/>
      <c r="G124" s="16"/>
      <c r="H124" s="14"/>
      <c r="I124" s="14"/>
      <c r="J124" s="14"/>
      <c r="K124" s="16"/>
      <c r="L124" s="14"/>
      <c r="M124" s="16"/>
      <c r="N124" s="14"/>
      <c r="O124" s="16"/>
      <c r="P124" s="14"/>
      <c r="Q124" s="16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7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4"/>
      <c r="AX124" s="14"/>
      <c r="AY124" s="13"/>
      <c r="AZ124" s="13"/>
      <c r="BA124" s="20" t="str">
        <f>BitsTo32Bit(BA125:BA128)</f>
        <v>080060</v>
      </c>
      <c r="BB124" s="13"/>
      <c r="BC124" s="20" t="str">
        <f>BitsTo32Bit(BC125:BC128)</f>
        <v>080060</v>
      </c>
      <c r="BE124" s="20" t="str">
        <f>BitsTo32Bit(BE125:BE128)</f>
        <v>0</v>
      </c>
    </row>
    <row r="125" spans="1:57" hidden="1" outlineLevel="1" x14ac:dyDescent="0.3">
      <c r="A125" s="5"/>
      <c r="B125" s="6">
        <v>31</v>
      </c>
      <c r="C125" s="6">
        <v>29</v>
      </c>
      <c r="D125" s="5" t="s">
        <v>1</v>
      </c>
      <c r="E125" s="13"/>
      <c r="F125" s="14"/>
      <c r="G125" s="16"/>
      <c r="H125" s="14"/>
      <c r="I125" s="14"/>
      <c r="J125" s="14"/>
      <c r="K125" s="16"/>
      <c r="L125" s="14"/>
      <c r="M125" s="16"/>
      <c r="N125" s="14"/>
      <c r="O125" s="16"/>
      <c r="P125" s="14"/>
      <c r="Q125" s="16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7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40"/>
      <c r="AX125" s="40"/>
      <c r="AY125" s="13"/>
      <c r="AZ125" s="13"/>
      <c r="BA125" s="19">
        <v>0</v>
      </c>
      <c r="BB125" s="13"/>
      <c r="BC125" s="19">
        <v>0</v>
      </c>
      <c r="BE125" s="19">
        <v>0</v>
      </c>
    </row>
    <row r="126" spans="1:57" hidden="1" outlineLevel="1" x14ac:dyDescent="0.3">
      <c r="A126" s="5"/>
      <c r="B126" s="6">
        <v>28</v>
      </c>
      <c r="C126" s="6">
        <v>16</v>
      </c>
      <c r="D126" s="5" t="s">
        <v>46</v>
      </c>
      <c r="E126" s="13"/>
      <c r="F126" s="14"/>
      <c r="G126" s="16"/>
      <c r="H126" s="14"/>
      <c r="I126" s="14"/>
      <c r="J126" s="14"/>
      <c r="K126" s="16"/>
      <c r="L126" s="14"/>
      <c r="M126" s="16"/>
      <c r="N126" s="14"/>
      <c r="O126" s="16"/>
      <c r="P126" s="14"/>
      <c r="Q126" s="16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7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39">
        <v>8</v>
      </c>
      <c r="BB126" s="13"/>
      <c r="BC126" s="39">
        <v>8</v>
      </c>
      <c r="BE126" s="39">
        <v>0</v>
      </c>
    </row>
    <row r="127" spans="1:57" hidden="1" outlineLevel="1" x14ac:dyDescent="0.3">
      <c r="A127" s="5"/>
      <c r="B127" s="6">
        <v>15</v>
      </c>
      <c r="C127" s="6">
        <v>13</v>
      </c>
      <c r="D127" s="5" t="s">
        <v>1</v>
      </c>
      <c r="E127" s="13"/>
      <c r="F127" s="14"/>
      <c r="G127" s="16"/>
      <c r="H127" s="14"/>
      <c r="I127" s="14"/>
      <c r="J127" s="14"/>
      <c r="K127" s="16"/>
      <c r="L127" s="14"/>
      <c r="M127" s="16"/>
      <c r="N127" s="14"/>
      <c r="O127" s="16"/>
      <c r="P127" s="14"/>
      <c r="Q127" s="16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7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40"/>
      <c r="AX127" s="40"/>
      <c r="AY127" s="13"/>
      <c r="AZ127" s="13"/>
      <c r="BA127" s="19">
        <v>0</v>
      </c>
      <c r="BB127" s="13"/>
      <c r="BC127" s="19">
        <v>0</v>
      </c>
      <c r="BE127" s="19">
        <v>0</v>
      </c>
    </row>
    <row r="128" spans="1:57" hidden="1" outlineLevel="1" x14ac:dyDescent="0.3">
      <c r="A128" s="5"/>
      <c r="B128" s="6">
        <v>12</v>
      </c>
      <c r="C128" s="6">
        <v>0</v>
      </c>
      <c r="D128" s="5" t="s">
        <v>47</v>
      </c>
      <c r="E128" s="13"/>
      <c r="F128" s="14"/>
      <c r="G128" s="16"/>
      <c r="H128" s="14"/>
      <c r="I128" s="14"/>
      <c r="J128" s="14"/>
      <c r="K128" s="16"/>
      <c r="L128" s="14"/>
      <c r="M128" s="16"/>
      <c r="N128" s="14"/>
      <c r="O128" s="16"/>
      <c r="P128" s="14"/>
      <c r="Q128" s="16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7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39">
        <v>60</v>
      </c>
      <c r="BB128" s="13"/>
      <c r="BC128" s="39">
        <v>60</v>
      </c>
      <c r="BE128" s="39">
        <v>0</v>
      </c>
    </row>
    <row r="129" spans="1:57" collapsed="1" x14ac:dyDescent="0.3">
      <c r="A129" s="5" t="s">
        <v>48</v>
      </c>
      <c r="B129" s="6"/>
      <c r="C129" s="6"/>
      <c r="D129" s="5"/>
      <c r="E129" s="13"/>
      <c r="F129" s="14"/>
      <c r="G129" s="16"/>
      <c r="H129" s="14"/>
      <c r="I129" s="14"/>
      <c r="J129" s="14"/>
      <c r="K129" s="16"/>
      <c r="L129" s="14"/>
      <c r="M129" s="16"/>
      <c r="N129" s="14"/>
      <c r="O129" s="16"/>
      <c r="P129" s="14"/>
      <c r="Q129" s="16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7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38" t="str">
        <f>BitsTo32Bit(BA130:BA142)</f>
        <v>00F805F05</v>
      </c>
      <c r="BB129" s="13"/>
      <c r="BC129" s="38" t="str">
        <f>BitsTo32Bit(BC130:BC142)</f>
        <v>00F805F09</v>
      </c>
      <c r="BE129" s="38" t="str">
        <f>BitsTo32Bit(BE130:BE142)</f>
        <v>01000000</v>
      </c>
    </row>
    <row r="130" spans="1:57" hidden="1" outlineLevel="1" x14ac:dyDescent="0.3">
      <c r="A130" s="5"/>
      <c r="B130" s="6">
        <v>31</v>
      </c>
      <c r="C130" s="6">
        <v>30</v>
      </c>
      <c r="D130" s="5" t="s">
        <v>49</v>
      </c>
      <c r="E130" s="13"/>
      <c r="F130" s="14"/>
      <c r="G130" s="16"/>
      <c r="H130" s="14"/>
      <c r="I130" s="14"/>
      <c r="J130" s="14"/>
      <c r="K130" s="16"/>
      <c r="L130" s="14"/>
      <c r="M130" s="16"/>
      <c r="N130" s="14"/>
      <c r="O130" s="16"/>
      <c r="P130" s="14"/>
      <c r="Q130" s="16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7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39">
        <v>0</v>
      </c>
      <c r="BB130" s="13"/>
      <c r="BC130" s="39">
        <v>0</v>
      </c>
      <c r="BE130" s="39">
        <v>0</v>
      </c>
    </row>
    <row r="131" spans="1:57" hidden="1" outlineLevel="1" x14ac:dyDescent="0.3">
      <c r="A131" s="5"/>
      <c r="B131" s="6">
        <v>29</v>
      </c>
      <c r="C131" s="6">
        <v>24</v>
      </c>
      <c r="D131" s="5" t="s">
        <v>50</v>
      </c>
      <c r="E131" s="13"/>
      <c r="F131" s="14"/>
      <c r="G131" s="16"/>
      <c r="H131" s="14"/>
      <c r="I131" s="14"/>
      <c r="J131" s="14"/>
      <c r="K131" s="16"/>
      <c r="L131" s="14"/>
      <c r="M131" s="16"/>
      <c r="N131" s="14"/>
      <c r="O131" s="16"/>
      <c r="P131" s="14"/>
      <c r="Q131" s="16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7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39" t="s">
        <v>117</v>
      </c>
      <c r="BB131" s="13"/>
      <c r="BC131" s="39" t="s">
        <v>117</v>
      </c>
      <c r="BE131" s="39">
        <v>1</v>
      </c>
    </row>
    <row r="132" spans="1:57" hidden="1" outlineLevel="1" x14ac:dyDescent="0.3">
      <c r="A132" s="5"/>
      <c r="B132" s="6">
        <v>23</v>
      </c>
      <c r="C132" s="6">
        <v>16</v>
      </c>
      <c r="D132" s="5" t="s">
        <v>51</v>
      </c>
      <c r="E132" s="13"/>
      <c r="F132" s="14"/>
      <c r="G132" s="16"/>
      <c r="H132" s="14"/>
      <c r="I132" s="14"/>
      <c r="J132" s="14"/>
      <c r="K132" s="16"/>
      <c r="L132" s="14"/>
      <c r="M132" s="16"/>
      <c r="N132" s="14"/>
      <c r="O132" s="16"/>
      <c r="P132" s="14"/>
      <c r="Q132" s="16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7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39">
        <v>80</v>
      </c>
      <c r="BB132" s="13"/>
      <c r="BC132" s="39">
        <v>80</v>
      </c>
      <c r="BE132" s="39">
        <v>0</v>
      </c>
    </row>
    <row r="133" spans="1:57" hidden="1" outlineLevel="1" x14ac:dyDescent="0.3">
      <c r="A133" s="5"/>
      <c r="B133" s="6">
        <v>15</v>
      </c>
      <c r="C133" s="6">
        <v>14</v>
      </c>
      <c r="D133" s="1" t="s">
        <v>326</v>
      </c>
      <c r="E133" s="13"/>
      <c r="F133" s="14"/>
      <c r="G133" s="16"/>
      <c r="H133" s="14"/>
      <c r="I133" s="14"/>
      <c r="J133" s="14"/>
      <c r="K133" s="16"/>
      <c r="L133" s="14"/>
      <c r="M133" s="16"/>
      <c r="N133" s="14"/>
      <c r="O133" s="16"/>
      <c r="P133" s="14"/>
      <c r="Q133" s="16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7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40"/>
      <c r="AX133" s="40"/>
      <c r="AY133" s="13"/>
      <c r="AZ133" s="13"/>
      <c r="BA133" s="19">
        <v>1</v>
      </c>
      <c r="BB133" s="13"/>
      <c r="BC133" s="19">
        <v>1</v>
      </c>
      <c r="BE133" s="19">
        <v>0</v>
      </c>
    </row>
    <row r="134" spans="1:57" hidden="1" outlineLevel="1" x14ac:dyDescent="0.3">
      <c r="A134" s="5"/>
      <c r="B134" s="6">
        <v>13</v>
      </c>
      <c r="C134" s="6">
        <v>12</v>
      </c>
      <c r="D134" s="1" t="s">
        <v>327</v>
      </c>
      <c r="E134" s="13"/>
      <c r="F134" s="14"/>
      <c r="G134" s="16"/>
      <c r="H134" s="14"/>
      <c r="I134" s="14"/>
      <c r="J134" s="14"/>
      <c r="K134" s="16"/>
      <c r="L134" s="14"/>
      <c r="M134" s="16"/>
      <c r="N134" s="14"/>
      <c r="O134" s="16"/>
      <c r="P134" s="14"/>
      <c r="Q134" s="16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7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40"/>
      <c r="AX134" s="40"/>
      <c r="AY134" s="13"/>
      <c r="AZ134" s="13"/>
      <c r="BA134" s="19">
        <v>1</v>
      </c>
      <c r="BB134" s="13"/>
      <c r="BC134" s="19">
        <v>1</v>
      </c>
      <c r="BE134" s="19">
        <v>0</v>
      </c>
    </row>
    <row r="135" spans="1:57" hidden="1" outlineLevel="1" x14ac:dyDescent="0.3">
      <c r="A135" s="5"/>
      <c r="B135" s="6">
        <v>11</v>
      </c>
      <c r="C135" s="6">
        <v>10</v>
      </c>
      <c r="D135" s="1" t="s">
        <v>328</v>
      </c>
      <c r="E135" s="13"/>
      <c r="F135" s="14"/>
      <c r="G135" s="16"/>
      <c r="H135" s="14"/>
      <c r="I135" s="14"/>
      <c r="J135" s="14"/>
      <c r="K135" s="16"/>
      <c r="L135" s="14"/>
      <c r="M135" s="16"/>
      <c r="N135" s="14"/>
      <c r="O135" s="16"/>
      <c r="P135" s="14"/>
      <c r="Q135" s="16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7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39">
        <v>3</v>
      </c>
      <c r="BB135" s="13"/>
      <c r="BC135" s="39">
        <v>3</v>
      </c>
      <c r="BE135" s="39">
        <v>0</v>
      </c>
    </row>
    <row r="136" spans="1:57" hidden="1" outlineLevel="1" x14ac:dyDescent="0.3">
      <c r="A136" s="5"/>
      <c r="B136" s="6">
        <v>9</v>
      </c>
      <c r="C136" s="6">
        <v>9</v>
      </c>
      <c r="D136" s="1" t="s">
        <v>52</v>
      </c>
      <c r="E136" s="13"/>
      <c r="F136" s="14"/>
      <c r="G136" s="16"/>
      <c r="H136" s="14"/>
      <c r="I136" s="14"/>
      <c r="J136" s="14"/>
      <c r="K136" s="16"/>
      <c r="L136" s="14"/>
      <c r="M136" s="16"/>
      <c r="N136" s="14"/>
      <c r="O136" s="16"/>
      <c r="P136" s="14"/>
      <c r="Q136" s="16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7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39">
        <v>1</v>
      </c>
      <c r="BB136" s="13"/>
      <c r="BC136" s="39">
        <v>1</v>
      </c>
      <c r="BE136" s="39">
        <v>0</v>
      </c>
    </row>
    <row r="137" spans="1:57" hidden="1" outlineLevel="1" x14ac:dyDescent="0.3">
      <c r="A137" s="5"/>
      <c r="B137" s="6">
        <v>8</v>
      </c>
      <c r="C137" s="6">
        <v>5</v>
      </c>
      <c r="D137" s="5" t="s">
        <v>53</v>
      </c>
      <c r="E137" s="13"/>
      <c r="F137" s="14"/>
      <c r="G137" s="16"/>
      <c r="H137" s="14"/>
      <c r="I137" s="14"/>
      <c r="J137" s="14"/>
      <c r="K137" s="16"/>
      <c r="L137" s="14"/>
      <c r="M137" s="16"/>
      <c r="N137" s="14"/>
      <c r="O137" s="16"/>
      <c r="P137" s="14"/>
      <c r="Q137" s="16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7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39">
        <v>8</v>
      </c>
      <c r="BB137" s="13"/>
      <c r="BC137" s="39">
        <v>8</v>
      </c>
      <c r="BE137" s="39">
        <v>0</v>
      </c>
    </row>
    <row r="138" spans="1:57" hidden="1" outlineLevel="1" x14ac:dyDescent="0.3">
      <c r="A138" s="5"/>
      <c r="B138" s="6">
        <v>4</v>
      </c>
      <c r="C138" s="6">
        <v>4</v>
      </c>
      <c r="D138" s="5" t="s">
        <v>54</v>
      </c>
      <c r="E138" s="13"/>
      <c r="F138" s="14"/>
      <c r="G138" s="16"/>
      <c r="H138" s="14"/>
      <c r="I138" s="14"/>
      <c r="J138" s="14"/>
      <c r="K138" s="16"/>
      <c r="L138" s="14"/>
      <c r="M138" s="16"/>
      <c r="N138" s="14"/>
      <c r="O138" s="16"/>
      <c r="P138" s="14"/>
      <c r="Q138" s="16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7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40"/>
      <c r="AX138" s="40"/>
      <c r="AY138" s="13"/>
      <c r="AZ138" s="13"/>
      <c r="BA138" s="19">
        <v>0</v>
      </c>
      <c r="BB138" s="13"/>
      <c r="BC138" s="19">
        <v>0</v>
      </c>
      <c r="BE138" s="19">
        <v>0</v>
      </c>
    </row>
    <row r="139" spans="1:57" hidden="1" outlineLevel="1" x14ac:dyDescent="0.3">
      <c r="A139" s="5"/>
      <c r="B139" s="6">
        <v>3</v>
      </c>
      <c r="C139" s="6">
        <v>3</v>
      </c>
      <c r="D139" s="5" t="s">
        <v>55</v>
      </c>
      <c r="E139" s="13"/>
      <c r="F139" s="14"/>
      <c r="G139" s="16"/>
      <c r="H139" s="14"/>
      <c r="I139" s="14"/>
      <c r="J139" s="14"/>
      <c r="K139" s="16"/>
      <c r="L139" s="14"/>
      <c r="M139" s="16"/>
      <c r="N139" s="14"/>
      <c r="O139" s="16"/>
      <c r="P139" s="14"/>
      <c r="Q139" s="16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7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40"/>
      <c r="AX139" s="40"/>
      <c r="AY139" s="13"/>
      <c r="AZ139" s="13"/>
      <c r="BA139" s="19">
        <v>0</v>
      </c>
      <c r="BB139" s="13"/>
      <c r="BC139" s="19">
        <v>1</v>
      </c>
      <c r="BE139" s="19">
        <v>0</v>
      </c>
    </row>
    <row r="140" spans="1:57" hidden="1" outlineLevel="1" x14ac:dyDescent="0.3">
      <c r="A140" s="5"/>
      <c r="B140" s="6">
        <v>2</v>
      </c>
      <c r="C140" s="6">
        <v>2</v>
      </c>
      <c r="D140" s="5" t="s">
        <v>56</v>
      </c>
      <c r="E140" s="13"/>
      <c r="F140" s="14"/>
      <c r="G140" s="16"/>
      <c r="H140" s="14"/>
      <c r="I140" s="14"/>
      <c r="J140" s="14"/>
      <c r="K140" s="16"/>
      <c r="L140" s="14"/>
      <c r="M140" s="16"/>
      <c r="N140" s="14"/>
      <c r="O140" s="16"/>
      <c r="P140" s="14"/>
      <c r="Q140" s="16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7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40"/>
      <c r="AX140" s="40"/>
      <c r="AY140" s="13"/>
      <c r="AZ140" s="13"/>
      <c r="BA140" s="19">
        <v>1</v>
      </c>
      <c r="BB140" s="13"/>
      <c r="BC140" s="19">
        <v>0</v>
      </c>
      <c r="BE140" s="19">
        <v>0</v>
      </c>
    </row>
    <row r="141" spans="1:57" hidden="1" outlineLevel="1" x14ac:dyDescent="0.3">
      <c r="A141" s="5"/>
      <c r="B141" s="6">
        <v>1</v>
      </c>
      <c r="C141" s="6">
        <v>1</v>
      </c>
      <c r="D141" s="5" t="s">
        <v>57</v>
      </c>
      <c r="E141" s="13"/>
      <c r="F141" s="14"/>
      <c r="G141" s="16"/>
      <c r="H141" s="14"/>
      <c r="I141" s="14"/>
      <c r="J141" s="14"/>
      <c r="K141" s="16"/>
      <c r="L141" s="14"/>
      <c r="M141" s="16"/>
      <c r="N141" s="14"/>
      <c r="O141" s="16"/>
      <c r="P141" s="14"/>
      <c r="Q141" s="16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7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40"/>
      <c r="AX141" s="40"/>
      <c r="AY141" s="13"/>
      <c r="AZ141" s="13"/>
      <c r="BA141" s="19">
        <v>0</v>
      </c>
      <c r="BB141" s="13"/>
      <c r="BC141" s="19">
        <v>0</v>
      </c>
      <c r="BE141" s="19">
        <v>0</v>
      </c>
    </row>
    <row r="142" spans="1:57" hidden="1" outlineLevel="1" x14ac:dyDescent="0.3">
      <c r="A142" s="5"/>
      <c r="B142" s="6">
        <v>0</v>
      </c>
      <c r="C142" s="6">
        <v>0</v>
      </c>
      <c r="D142" s="5" t="s">
        <v>58</v>
      </c>
      <c r="E142" s="13"/>
      <c r="F142" s="14"/>
      <c r="G142" s="16"/>
      <c r="H142" s="14"/>
      <c r="I142" s="14"/>
      <c r="J142" s="14"/>
      <c r="K142" s="16"/>
      <c r="L142" s="14"/>
      <c r="M142" s="16"/>
      <c r="N142" s="14"/>
      <c r="O142" s="16"/>
      <c r="P142" s="14"/>
      <c r="Q142" s="16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7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40"/>
      <c r="AX142" s="40"/>
      <c r="AY142" s="13"/>
      <c r="AZ142" s="13"/>
      <c r="BA142" s="19">
        <v>1</v>
      </c>
      <c r="BB142" s="13"/>
      <c r="BC142" s="19">
        <v>1</v>
      </c>
      <c r="BE142" s="19">
        <v>0</v>
      </c>
    </row>
    <row r="143" spans="1:57" collapsed="1" x14ac:dyDescent="0.3">
      <c r="A143" s="46" t="s">
        <v>155</v>
      </c>
      <c r="B143" s="2"/>
      <c r="C143" s="2"/>
      <c r="D143" s="1"/>
      <c r="E143" s="13"/>
      <c r="F143" s="14"/>
      <c r="G143" s="14"/>
      <c r="H143" s="14"/>
      <c r="I143" s="14"/>
      <c r="J143" s="14"/>
      <c r="K143" s="20" t="str">
        <f>BitsTo32Bit(K144:K163)</f>
        <v>3</v>
      </c>
      <c r="L143" s="14"/>
      <c r="M143" s="20" t="str">
        <f>BitsTo32Bit(M144:M163)</f>
        <v>23</v>
      </c>
      <c r="N143" s="14"/>
      <c r="O143" s="20" t="str">
        <f>BitsTo32Bit(O144:O163)</f>
        <v>23</v>
      </c>
      <c r="P143" s="14"/>
      <c r="Q143" s="20" t="str">
        <f>BitsTo32Bit(Q144:Q163)</f>
        <v>23</v>
      </c>
      <c r="R143" s="13"/>
      <c r="S143" s="20" t="str">
        <f>BitsTo32Bit(S144:S163)</f>
        <v>54</v>
      </c>
      <c r="T143" s="13"/>
      <c r="U143" s="13"/>
      <c r="V143" s="13"/>
      <c r="W143" s="14"/>
      <c r="X143" s="13"/>
      <c r="Y143" s="14"/>
      <c r="Z143" s="13"/>
      <c r="AA143" s="14"/>
      <c r="AB143" s="13"/>
      <c r="AC143" s="20" t="str">
        <f>BitsTo32Bit(AC144:AC163)</f>
        <v>38</v>
      </c>
      <c r="AD143" s="13"/>
      <c r="AE143" s="13"/>
      <c r="AF143" s="13"/>
      <c r="AG143" s="13"/>
      <c r="AH143" s="13"/>
      <c r="AI143" s="45" t="str">
        <f>BitsTo32Bit(AI144:AI163)</f>
        <v>1D10</v>
      </c>
      <c r="AJ143" s="13"/>
      <c r="AK143" s="13"/>
      <c r="AL143" s="7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45" t="str">
        <f>BitsTo32Bit(AY144:AY163)</f>
        <v>113</v>
      </c>
      <c r="AZ143" s="13"/>
      <c r="BA143" s="45" t="str">
        <f>BitsTo32Bit(BA144:BA163)</f>
        <v>38</v>
      </c>
      <c r="BB143" s="13"/>
      <c r="BC143" s="45" t="str">
        <f>BitsTo32Bit(BC144:BC163)</f>
        <v>38</v>
      </c>
      <c r="BE143" s="45" t="str">
        <f>BitsTo32Bit(BE144:BE163)</f>
        <v>2</v>
      </c>
    </row>
    <row r="144" spans="1:57" ht="15.6" hidden="1" customHeight="1" outlineLevel="1" x14ac:dyDescent="0.3">
      <c r="A144" s="1"/>
      <c r="B144" s="2">
        <v>31</v>
      </c>
      <c r="C144" s="2">
        <v>31</v>
      </c>
      <c r="D144" s="44" t="s">
        <v>156</v>
      </c>
      <c r="E144" s="13"/>
      <c r="F144" s="14"/>
      <c r="G144" s="14"/>
      <c r="H144" s="14"/>
      <c r="I144" s="14"/>
      <c r="J144" s="14"/>
      <c r="K144" s="15">
        <v>0</v>
      </c>
      <c r="L144" s="14"/>
      <c r="M144" s="15">
        <v>0</v>
      </c>
      <c r="N144" s="14"/>
      <c r="O144" s="15">
        <v>0</v>
      </c>
      <c r="P144" s="14"/>
      <c r="Q144" s="15">
        <v>0</v>
      </c>
      <c r="R144" s="13"/>
      <c r="S144" s="15">
        <v>0</v>
      </c>
      <c r="T144" s="13"/>
      <c r="U144" s="13"/>
      <c r="V144" s="13"/>
      <c r="W144" s="16"/>
      <c r="X144" s="13"/>
      <c r="Y144" s="16"/>
      <c r="Z144" s="13"/>
      <c r="AA144" s="16"/>
      <c r="AB144" s="13"/>
      <c r="AC144" s="15">
        <v>0</v>
      </c>
      <c r="AD144" s="13"/>
      <c r="AE144" s="13"/>
      <c r="AF144" s="13"/>
      <c r="AG144" s="13"/>
      <c r="AH144" s="13"/>
      <c r="AI144" s="39">
        <v>0</v>
      </c>
      <c r="AJ144" s="13"/>
      <c r="AK144" s="13"/>
      <c r="AL144" s="7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39">
        <v>0</v>
      </c>
      <c r="AZ144" s="13"/>
      <c r="BA144" s="39">
        <v>0</v>
      </c>
      <c r="BB144" s="13"/>
      <c r="BC144" s="39">
        <v>0</v>
      </c>
      <c r="BE144" s="39">
        <v>0</v>
      </c>
    </row>
    <row r="145" spans="1:57" hidden="1" outlineLevel="1" x14ac:dyDescent="0.3">
      <c r="A145" s="1"/>
      <c r="B145" s="2">
        <v>30</v>
      </c>
      <c r="C145" s="2">
        <v>30</v>
      </c>
      <c r="D145" s="1" t="s">
        <v>157</v>
      </c>
      <c r="E145" s="13"/>
      <c r="F145" s="14"/>
      <c r="G145" s="14"/>
      <c r="H145" s="14"/>
      <c r="I145" s="14"/>
      <c r="J145" s="14"/>
      <c r="K145" s="15">
        <v>0</v>
      </c>
      <c r="L145" s="14"/>
      <c r="M145" s="15">
        <v>0</v>
      </c>
      <c r="N145" s="14"/>
      <c r="O145" s="15">
        <v>0</v>
      </c>
      <c r="P145" s="14"/>
      <c r="Q145" s="15">
        <v>0</v>
      </c>
      <c r="R145" s="13"/>
      <c r="S145" s="15">
        <v>0</v>
      </c>
      <c r="T145" s="13"/>
      <c r="U145" s="13"/>
      <c r="V145" s="13"/>
      <c r="W145" s="16"/>
      <c r="X145" s="13"/>
      <c r="Y145" s="16"/>
      <c r="Z145" s="13"/>
      <c r="AA145" s="16"/>
      <c r="AB145" s="13"/>
      <c r="AC145" s="15">
        <v>0</v>
      </c>
      <c r="AD145" s="13"/>
      <c r="AE145" s="13"/>
      <c r="AF145" s="13"/>
      <c r="AG145" s="13"/>
      <c r="AH145" s="13"/>
      <c r="AI145" s="39">
        <v>0</v>
      </c>
      <c r="AJ145" s="13"/>
      <c r="AK145" s="13"/>
      <c r="AL145" s="7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39">
        <v>0</v>
      </c>
      <c r="AZ145" s="13"/>
      <c r="BA145" s="39">
        <v>0</v>
      </c>
      <c r="BB145" s="13"/>
      <c r="BC145" s="39">
        <v>0</v>
      </c>
      <c r="BE145" s="39">
        <v>0</v>
      </c>
    </row>
    <row r="146" spans="1:57" hidden="1" outlineLevel="1" x14ac:dyDescent="0.3">
      <c r="A146" s="1"/>
      <c r="B146" s="2">
        <v>29</v>
      </c>
      <c r="C146" s="2">
        <v>29</v>
      </c>
      <c r="D146" s="1" t="s">
        <v>158</v>
      </c>
      <c r="E146" s="13"/>
      <c r="F146" s="14"/>
      <c r="G146" s="14"/>
      <c r="H146" s="14"/>
      <c r="I146" s="14"/>
      <c r="J146" s="14"/>
      <c r="K146" s="15">
        <v>0</v>
      </c>
      <c r="L146" s="14"/>
      <c r="M146" s="15">
        <v>0</v>
      </c>
      <c r="N146" s="14"/>
      <c r="O146" s="15">
        <v>0</v>
      </c>
      <c r="P146" s="14"/>
      <c r="Q146" s="15">
        <v>0</v>
      </c>
      <c r="R146" s="13"/>
      <c r="S146" s="15">
        <v>0</v>
      </c>
      <c r="T146" s="13"/>
      <c r="U146" s="13"/>
      <c r="V146" s="13"/>
      <c r="W146" s="16"/>
      <c r="X146" s="13"/>
      <c r="Y146" s="16"/>
      <c r="Z146" s="13"/>
      <c r="AA146" s="16"/>
      <c r="AB146" s="13"/>
      <c r="AC146" s="15">
        <v>0</v>
      </c>
      <c r="AD146" s="13"/>
      <c r="AE146" s="13"/>
      <c r="AF146" s="13"/>
      <c r="AG146" s="13"/>
      <c r="AH146" s="13"/>
      <c r="AI146" s="39">
        <v>0</v>
      </c>
      <c r="AJ146" s="13"/>
      <c r="AK146" s="13"/>
      <c r="AL146" s="7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39">
        <v>0</v>
      </c>
      <c r="AZ146" s="13"/>
      <c r="BA146" s="39">
        <v>0</v>
      </c>
      <c r="BB146" s="13"/>
      <c r="BC146" s="39">
        <v>0</v>
      </c>
      <c r="BE146" s="39">
        <v>0</v>
      </c>
    </row>
    <row r="147" spans="1:57" hidden="1" outlineLevel="1" x14ac:dyDescent="0.3">
      <c r="A147" s="1"/>
      <c r="B147" s="2">
        <v>28</v>
      </c>
      <c r="C147" s="2">
        <v>28</v>
      </c>
      <c r="D147" s="1" t="s">
        <v>159</v>
      </c>
      <c r="E147" s="13"/>
      <c r="F147" s="14"/>
      <c r="G147" s="14"/>
      <c r="H147" s="14"/>
      <c r="I147" s="14"/>
      <c r="J147" s="14"/>
      <c r="K147" s="18">
        <v>0</v>
      </c>
      <c r="L147" s="14"/>
      <c r="M147" s="18">
        <v>0</v>
      </c>
      <c r="N147" s="14"/>
      <c r="O147" s="18">
        <v>0</v>
      </c>
      <c r="P147" s="14"/>
      <c r="Q147" s="18">
        <v>0</v>
      </c>
      <c r="R147" s="13"/>
      <c r="S147" s="18">
        <v>0</v>
      </c>
      <c r="T147" s="13"/>
      <c r="U147" s="13"/>
      <c r="V147" s="13"/>
      <c r="W147" s="14"/>
      <c r="X147" s="13"/>
      <c r="Y147" s="14"/>
      <c r="Z147" s="13"/>
      <c r="AA147" s="14"/>
      <c r="AB147" s="13"/>
      <c r="AC147" s="18">
        <v>0</v>
      </c>
      <c r="AD147" s="13"/>
      <c r="AE147" s="13"/>
      <c r="AF147" s="13"/>
      <c r="AG147" s="13"/>
      <c r="AH147" s="13"/>
      <c r="AI147" s="39">
        <v>0</v>
      </c>
      <c r="AJ147" s="13"/>
      <c r="AK147" s="13"/>
      <c r="AL147" s="7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39">
        <v>0</v>
      </c>
      <c r="AZ147" s="13"/>
      <c r="BA147" s="39">
        <v>0</v>
      </c>
      <c r="BB147" s="13"/>
      <c r="BC147" s="39">
        <v>0</v>
      </c>
      <c r="BE147" s="39">
        <v>0</v>
      </c>
    </row>
    <row r="148" spans="1:57" hidden="1" outlineLevel="1" x14ac:dyDescent="0.3">
      <c r="A148" s="1"/>
      <c r="B148" s="2">
        <v>27</v>
      </c>
      <c r="C148" s="2">
        <v>25</v>
      </c>
      <c r="D148" s="1" t="s">
        <v>160</v>
      </c>
      <c r="E148" s="13"/>
      <c r="F148" s="14"/>
      <c r="G148" s="14"/>
      <c r="H148" s="14"/>
      <c r="I148" s="14"/>
      <c r="J148" s="14"/>
      <c r="K148" s="18">
        <v>0</v>
      </c>
      <c r="L148" s="14"/>
      <c r="M148" s="18">
        <v>0</v>
      </c>
      <c r="N148" s="14"/>
      <c r="O148" s="18">
        <v>0</v>
      </c>
      <c r="P148" s="14"/>
      <c r="Q148" s="18">
        <v>0</v>
      </c>
      <c r="R148" s="13"/>
      <c r="S148" s="18">
        <v>0</v>
      </c>
      <c r="T148" s="13"/>
      <c r="U148" s="13"/>
      <c r="V148" s="13"/>
      <c r="W148" s="14"/>
      <c r="X148" s="13"/>
      <c r="Y148" s="14"/>
      <c r="Z148" s="13"/>
      <c r="AA148" s="14"/>
      <c r="AB148" s="13"/>
      <c r="AC148" s="18">
        <v>0</v>
      </c>
      <c r="AD148" s="13"/>
      <c r="AE148" s="13"/>
      <c r="AF148" s="13"/>
      <c r="AG148" s="13"/>
      <c r="AH148" s="13"/>
      <c r="AI148" s="39">
        <v>0</v>
      </c>
      <c r="AJ148" s="13"/>
      <c r="AK148" s="13"/>
      <c r="AL148" s="7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39">
        <v>0</v>
      </c>
      <c r="AZ148" s="13"/>
      <c r="BA148" s="39">
        <v>0</v>
      </c>
      <c r="BB148" s="13"/>
      <c r="BC148" s="39">
        <v>0</v>
      </c>
      <c r="BE148" s="39">
        <v>0</v>
      </c>
    </row>
    <row r="149" spans="1:57" hidden="1" outlineLevel="1" x14ac:dyDescent="0.3">
      <c r="A149" s="1"/>
      <c r="B149" s="2">
        <v>24</v>
      </c>
      <c r="C149" s="2">
        <v>24</v>
      </c>
      <c r="D149" s="1" t="s">
        <v>161</v>
      </c>
      <c r="E149" s="13"/>
      <c r="F149" s="14"/>
      <c r="G149" s="14"/>
      <c r="H149" s="14"/>
      <c r="I149" s="14"/>
      <c r="J149" s="14"/>
      <c r="K149" s="15">
        <v>0</v>
      </c>
      <c r="L149" s="14"/>
      <c r="M149" s="15">
        <v>0</v>
      </c>
      <c r="N149" s="14"/>
      <c r="O149" s="15">
        <v>0</v>
      </c>
      <c r="P149" s="14"/>
      <c r="Q149" s="15">
        <v>0</v>
      </c>
      <c r="R149" s="13"/>
      <c r="S149" s="15">
        <v>0</v>
      </c>
      <c r="T149" s="13"/>
      <c r="U149" s="13"/>
      <c r="V149" s="13"/>
      <c r="W149" s="16"/>
      <c r="X149" s="13"/>
      <c r="Y149" s="16"/>
      <c r="Z149" s="13"/>
      <c r="AA149" s="16"/>
      <c r="AB149" s="13"/>
      <c r="AC149" s="15">
        <v>0</v>
      </c>
      <c r="AD149" s="13"/>
      <c r="AE149" s="13"/>
      <c r="AF149" s="13"/>
      <c r="AG149" s="13"/>
      <c r="AH149" s="13"/>
      <c r="AI149" s="39">
        <v>0</v>
      </c>
      <c r="AJ149" s="13"/>
      <c r="AK149" s="13"/>
      <c r="AL149" s="7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39">
        <v>0</v>
      </c>
      <c r="AZ149" s="13"/>
      <c r="BA149" s="39">
        <v>0</v>
      </c>
      <c r="BB149" s="13"/>
      <c r="BC149" s="39">
        <v>0</v>
      </c>
      <c r="BE149" s="39">
        <v>0</v>
      </c>
    </row>
    <row r="150" spans="1:57" hidden="1" outlineLevel="1" x14ac:dyDescent="0.3">
      <c r="A150" s="1"/>
      <c r="B150" s="2">
        <v>23</v>
      </c>
      <c r="C150" s="2">
        <v>23</v>
      </c>
      <c r="D150" s="1" t="s">
        <v>162</v>
      </c>
      <c r="E150" s="13"/>
      <c r="F150" s="14"/>
      <c r="G150" s="14"/>
      <c r="H150" s="14"/>
      <c r="I150" s="14"/>
      <c r="J150" s="14"/>
      <c r="K150" s="15">
        <v>0</v>
      </c>
      <c r="L150" s="14"/>
      <c r="M150" s="15">
        <v>0</v>
      </c>
      <c r="N150" s="14"/>
      <c r="O150" s="15">
        <v>0</v>
      </c>
      <c r="P150" s="14"/>
      <c r="Q150" s="15">
        <v>0</v>
      </c>
      <c r="R150" s="13"/>
      <c r="S150" s="15">
        <v>0</v>
      </c>
      <c r="T150" s="13"/>
      <c r="U150" s="13"/>
      <c r="V150" s="13"/>
      <c r="W150" s="16"/>
      <c r="X150" s="13"/>
      <c r="Y150" s="16"/>
      <c r="Z150" s="13"/>
      <c r="AA150" s="16"/>
      <c r="AB150" s="13"/>
      <c r="AC150" s="15">
        <v>0</v>
      </c>
      <c r="AD150" s="13"/>
      <c r="AE150" s="13"/>
      <c r="AF150" s="13"/>
      <c r="AG150" s="13"/>
      <c r="AH150" s="13"/>
      <c r="AI150" s="39">
        <v>0</v>
      </c>
      <c r="AJ150" s="13"/>
      <c r="AK150" s="13"/>
      <c r="AL150" s="7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39">
        <v>0</v>
      </c>
      <c r="AZ150" s="13"/>
      <c r="BA150" s="39">
        <v>0</v>
      </c>
      <c r="BB150" s="13"/>
      <c r="BC150" s="39">
        <v>0</v>
      </c>
      <c r="BE150" s="39">
        <v>0</v>
      </c>
    </row>
    <row r="151" spans="1:57" hidden="1" outlineLevel="1" x14ac:dyDescent="0.3">
      <c r="A151" s="1"/>
      <c r="B151" s="2">
        <v>22</v>
      </c>
      <c r="C151" s="2">
        <v>22</v>
      </c>
      <c r="D151" s="1" t="s">
        <v>163</v>
      </c>
      <c r="E151" s="13"/>
      <c r="F151" s="14"/>
      <c r="G151" s="14"/>
      <c r="H151" s="14"/>
      <c r="I151" s="14"/>
      <c r="J151" s="14"/>
      <c r="K151" s="15">
        <v>0</v>
      </c>
      <c r="L151" s="14"/>
      <c r="M151" s="15">
        <v>0</v>
      </c>
      <c r="N151" s="14"/>
      <c r="O151" s="15">
        <v>0</v>
      </c>
      <c r="P151" s="14"/>
      <c r="Q151" s="15">
        <v>0</v>
      </c>
      <c r="R151" s="13"/>
      <c r="S151" s="15">
        <v>0</v>
      </c>
      <c r="T151" s="13"/>
      <c r="U151" s="13"/>
      <c r="V151" s="13"/>
      <c r="W151" s="16"/>
      <c r="X151" s="13"/>
      <c r="Y151" s="16"/>
      <c r="Z151" s="13"/>
      <c r="AA151" s="16"/>
      <c r="AB151" s="13"/>
      <c r="AC151" s="15">
        <v>0</v>
      </c>
      <c r="AD151" s="13"/>
      <c r="AE151" s="13"/>
      <c r="AF151" s="13"/>
      <c r="AG151" s="13"/>
      <c r="AH151" s="13"/>
      <c r="AI151" s="39">
        <v>0</v>
      </c>
      <c r="AJ151" s="13"/>
      <c r="AK151" s="13"/>
      <c r="AL151" s="7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39">
        <v>0</v>
      </c>
      <c r="AZ151" s="13"/>
      <c r="BA151" s="39">
        <v>0</v>
      </c>
      <c r="BB151" s="13"/>
      <c r="BC151" s="39">
        <v>0</v>
      </c>
      <c r="BE151" s="39">
        <v>0</v>
      </c>
    </row>
    <row r="152" spans="1:57" hidden="1" outlineLevel="1" x14ac:dyDescent="0.3">
      <c r="A152" s="1"/>
      <c r="B152" s="2">
        <v>21</v>
      </c>
      <c r="C152" s="2">
        <v>21</v>
      </c>
      <c r="D152" s="1" t="s">
        <v>164</v>
      </c>
      <c r="E152" s="13"/>
      <c r="F152" s="14"/>
      <c r="G152" s="14"/>
      <c r="H152" s="14"/>
      <c r="I152" s="14"/>
      <c r="J152" s="14"/>
      <c r="K152" s="15">
        <v>0</v>
      </c>
      <c r="L152" s="14"/>
      <c r="M152" s="15">
        <v>0</v>
      </c>
      <c r="N152" s="14"/>
      <c r="O152" s="15">
        <v>0</v>
      </c>
      <c r="P152" s="14"/>
      <c r="Q152" s="15">
        <v>0</v>
      </c>
      <c r="R152" s="13"/>
      <c r="S152" s="15">
        <v>0</v>
      </c>
      <c r="T152" s="13"/>
      <c r="U152" s="13"/>
      <c r="V152" s="13"/>
      <c r="W152" s="16"/>
      <c r="X152" s="13"/>
      <c r="Y152" s="16"/>
      <c r="Z152" s="13"/>
      <c r="AA152" s="16"/>
      <c r="AB152" s="13"/>
      <c r="AC152" s="15">
        <v>0</v>
      </c>
      <c r="AD152" s="13"/>
      <c r="AE152" s="13"/>
      <c r="AF152" s="13"/>
      <c r="AG152" s="13"/>
      <c r="AH152" s="13"/>
      <c r="AI152" s="39">
        <v>0</v>
      </c>
      <c r="AJ152" s="13"/>
      <c r="AK152" s="13"/>
      <c r="AL152" s="7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39">
        <v>0</v>
      </c>
      <c r="AZ152" s="13"/>
      <c r="BA152" s="39">
        <v>0</v>
      </c>
      <c r="BB152" s="13"/>
      <c r="BC152" s="39">
        <v>0</v>
      </c>
      <c r="BE152" s="39">
        <v>0</v>
      </c>
    </row>
    <row r="153" spans="1:57" hidden="1" outlineLevel="1" x14ac:dyDescent="0.3">
      <c r="A153" s="1"/>
      <c r="B153" s="2">
        <v>20</v>
      </c>
      <c r="C153" s="2">
        <v>20</v>
      </c>
      <c r="D153" s="1" t="s">
        <v>1</v>
      </c>
      <c r="E153" s="13"/>
      <c r="F153" s="14"/>
      <c r="G153" s="14"/>
      <c r="H153" s="14"/>
      <c r="I153" s="14"/>
      <c r="J153" s="14"/>
      <c r="K153" s="15">
        <v>0</v>
      </c>
      <c r="L153" s="14"/>
      <c r="M153" s="15">
        <v>0</v>
      </c>
      <c r="N153" s="14"/>
      <c r="O153" s="15">
        <v>0</v>
      </c>
      <c r="P153" s="14"/>
      <c r="Q153" s="15">
        <v>0</v>
      </c>
      <c r="R153" s="13"/>
      <c r="S153" s="15">
        <v>0</v>
      </c>
      <c r="T153" s="13"/>
      <c r="U153" s="13"/>
      <c r="V153" s="13"/>
      <c r="W153" s="16"/>
      <c r="X153" s="13"/>
      <c r="Y153" s="16"/>
      <c r="Z153" s="13"/>
      <c r="AA153" s="16"/>
      <c r="AB153" s="13"/>
      <c r="AC153" s="15">
        <v>0</v>
      </c>
      <c r="AD153" s="13"/>
      <c r="AE153" s="13"/>
      <c r="AF153" s="13"/>
      <c r="AG153" s="13"/>
      <c r="AH153" s="13"/>
      <c r="AI153" s="39">
        <v>0</v>
      </c>
      <c r="AJ153" s="13"/>
      <c r="AK153" s="13"/>
      <c r="AL153" s="7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39">
        <v>0</v>
      </c>
      <c r="AZ153" s="13"/>
      <c r="BA153" s="39">
        <v>0</v>
      </c>
      <c r="BB153" s="13"/>
      <c r="BC153" s="39">
        <v>0</v>
      </c>
      <c r="BE153" s="39">
        <v>0</v>
      </c>
    </row>
    <row r="154" spans="1:57" hidden="1" outlineLevel="1" x14ac:dyDescent="0.3">
      <c r="A154" s="1"/>
      <c r="B154" s="2">
        <v>19</v>
      </c>
      <c r="C154" s="2">
        <v>19</v>
      </c>
      <c r="D154" s="1" t="s">
        <v>165</v>
      </c>
      <c r="E154" s="13"/>
      <c r="F154" s="14"/>
      <c r="G154" s="14"/>
      <c r="H154" s="14"/>
      <c r="I154" s="14"/>
      <c r="J154" s="14"/>
      <c r="K154" s="15">
        <v>0</v>
      </c>
      <c r="L154" s="14"/>
      <c r="M154" s="15">
        <v>0</v>
      </c>
      <c r="N154" s="14"/>
      <c r="O154" s="15">
        <v>0</v>
      </c>
      <c r="P154" s="14"/>
      <c r="Q154" s="15">
        <v>0</v>
      </c>
      <c r="R154" s="13"/>
      <c r="S154" s="15">
        <v>0</v>
      </c>
      <c r="T154" s="13"/>
      <c r="U154" s="13"/>
      <c r="V154" s="13"/>
      <c r="W154" s="16"/>
      <c r="X154" s="13"/>
      <c r="Y154" s="16"/>
      <c r="Z154" s="13"/>
      <c r="AA154" s="16"/>
      <c r="AB154" s="13"/>
      <c r="AC154" s="15">
        <v>0</v>
      </c>
      <c r="AD154" s="13"/>
      <c r="AE154" s="13"/>
      <c r="AF154" s="13"/>
      <c r="AG154" s="13"/>
      <c r="AH154" s="13"/>
      <c r="AI154" s="39">
        <v>0</v>
      </c>
      <c r="AJ154" s="13"/>
      <c r="AK154" s="13"/>
      <c r="AL154" s="7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39">
        <v>0</v>
      </c>
      <c r="AZ154" s="13"/>
      <c r="BA154" s="39">
        <v>0</v>
      </c>
      <c r="BB154" s="13"/>
      <c r="BC154" s="39">
        <v>0</v>
      </c>
      <c r="BE154" s="39">
        <v>0</v>
      </c>
    </row>
    <row r="155" spans="1:57" hidden="1" outlineLevel="1" x14ac:dyDescent="0.3">
      <c r="A155" s="1"/>
      <c r="B155" s="2">
        <v>18</v>
      </c>
      <c r="C155" s="2">
        <v>16</v>
      </c>
      <c r="D155" s="1" t="s">
        <v>166</v>
      </c>
      <c r="E155" s="13"/>
      <c r="F155" s="14"/>
      <c r="G155" s="14"/>
      <c r="H155" s="14"/>
      <c r="I155" s="14"/>
      <c r="J155" s="14"/>
      <c r="K155" s="15">
        <v>0</v>
      </c>
      <c r="L155" s="14"/>
      <c r="M155" s="15">
        <v>0</v>
      </c>
      <c r="N155" s="14"/>
      <c r="O155" s="15">
        <v>0</v>
      </c>
      <c r="P155" s="14"/>
      <c r="Q155" s="15">
        <v>0</v>
      </c>
      <c r="R155" s="13"/>
      <c r="S155" s="15">
        <v>0</v>
      </c>
      <c r="T155" s="13"/>
      <c r="U155" s="13"/>
      <c r="V155" s="13"/>
      <c r="W155" s="16"/>
      <c r="X155" s="13"/>
      <c r="Y155" s="16"/>
      <c r="Z155" s="13"/>
      <c r="AA155" s="16"/>
      <c r="AB155" s="13"/>
      <c r="AC155" s="15">
        <v>0</v>
      </c>
      <c r="AD155" s="13"/>
      <c r="AE155" s="13"/>
      <c r="AF155" s="13"/>
      <c r="AG155" s="13"/>
      <c r="AH155" s="13"/>
      <c r="AI155" s="39">
        <v>0</v>
      </c>
      <c r="AJ155" s="13"/>
      <c r="AK155" s="13"/>
      <c r="AL155" s="7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39">
        <v>0</v>
      </c>
      <c r="AZ155" s="13"/>
      <c r="BA155" s="39">
        <v>0</v>
      </c>
      <c r="BB155" s="13"/>
      <c r="BC155" s="39">
        <v>0</v>
      </c>
      <c r="BE155" s="39">
        <v>0</v>
      </c>
    </row>
    <row r="156" spans="1:57" hidden="1" outlineLevel="1" x14ac:dyDescent="0.3">
      <c r="A156" s="1"/>
      <c r="B156" s="2">
        <v>15</v>
      </c>
      <c r="C156" s="2">
        <v>8</v>
      </c>
      <c r="D156" s="1" t="s">
        <v>167</v>
      </c>
      <c r="E156" s="13"/>
      <c r="F156" s="14"/>
      <c r="G156" s="14"/>
      <c r="H156" s="14"/>
      <c r="I156" s="14"/>
      <c r="J156" s="14"/>
      <c r="K156" s="15">
        <v>0</v>
      </c>
      <c r="L156" s="14"/>
      <c r="M156" s="15">
        <v>0</v>
      </c>
      <c r="N156" s="14"/>
      <c r="O156" s="15">
        <v>0</v>
      </c>
      <c r="P156" s="14"/>
      <c r="Q156" s="15">
        <v>0</v>
      </c>
      <c r="R156" s="13"/>
      <c r="S156" s="15">
        <v>0</v>
      </c>
      <c r="T156" s="13"/>
      <c r="U156" s="13"/>
      <c r="V156" s="13"/>
      <c r="W156" s="16"/>
      <c r="X156" s="13"/>
      <c r="Y156" s="16"/>
      <c r="Z156" s="13"/>
      <c r="AA156" s="16"/>
      <c r="AB156" s="13"/>
      <c r="AC156" s="15">
        <v>0</v>
      </c>
      <c r="AD156" s="13"/>
      <c r="AE156" s="13"/>
      <c r="AF156" s="13"/>
      <c r="AG156" s="13"/>
      <c r="AH156" s="13"/>
      <c r="AI156" s="39" t="s">
        <v>363</v>
      </c>
      <c r="AJ156" s="13"/>
      <c r="AK156" s="13"/>
      <c r="AL156" s="7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39">
        <v>1</v>
      </c>
      <c r="AZ156" s="13"/>
      <c r="BA156" s="39">
        <v>0</v>
      </c>
      <c r="BB156" s="13"/>
      <c r="BC156" s="39">
        <v>0</v>
      </c>
      <c r="BE156" s="39">
        <v>0</v>
      </c>
    </row>
    <row r="157" spans="1:57" hidden="1" outlineLevel="1" x14ac:dyDescent="0.3">
      <c r="A157" s="1"/>
      <c r="B157" s="2">
        <v>7</v>
      </c>
      <c r="C157" s="2">
        <v>7</v>
      </c>
      <c r="D157" s="1" t="s">
        <v>1</v>
      </c>
      <c r="E157" s="13"/>
      <c r="F157" s="14"/>
      <c r="G157" s="14"/>
      <c r="H157" s="14"/>
      <c r="I157" s="14"/>
      <c r="J157" s="14"/>
      <c r="K157" s="15">
        <v>0</v>
      </c>
      <c r="L157" s="14"/>
      <c r="M157" s="15">
        <v>0</v>
      </c>
      <c r="N157" s="14"/>
      <c r="O157" s="15">
        <v>0</v>
      </c>
      <c r="P157" s="14"/>
      <c r="Q157" s="15">
        <v>0</v>
      </c>
      <c r="R157" s="13"/>
      <c r="S157" s="15">
        <v>0</v>
      </c>
      <c r="T157" s="13"/>
      <c r="U157" s="13"/>
      <c r="V157" s="13"/>
      <c r="W157" s="16"/>
      <c r="X157" s="13"/>
      <c r="Y157" s="16"/>
      <c r="Z157" s="13"/>
      <c r="AA157" s="16"/>
      <c r="AB157" s="13"/>
      <c r="AC157" s="15">
        <v>0</v>
      </c>
      <c r="AD157" s="13"/>
      <c r="AE157" s="13"/>
      <c r="AF157" s="13"/>
      <c r="AG157" s="13"/>
      <c r="AH157" s="13"/>
      <c r="AI157" s="39">
        <v>0</v>
      </c>
      <c r="AJ157" s="13"/>
      <c r="AK157" s="13"/>
      <c r="AL157" s="7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39">
        <v>0</v>
      </c>
      <c r="AZ157" s="13"/>
      <c r="BA157" s="39">
        <v>0</v>
      </c>
      <c r="BB157" s="13"/>
      <c r="BC157" s="39">
        <v>0</v>
      </c>
      <c r="BE157" s="39">
        <v>0</v>
      </c>
    </row>
    <row r="158" spans="1:57" hidden="1" outlineLevel="1" x14ac:dyDescent="0.3">
      <c r="A158" s="1"/>
      <c r="B158" s="2">
        <v>6</v>
      </c>
      <c r="C158" s="2">
        <v>6</v>
      </c>
      <c r="D158" s="1" t="s">
        <v>168</v>
      </c>
      <c r="E158" s="13"/>
      <c r="F158" s="14"/>
      <c r="G158" s="14"/>
      <c r="H158" s="14"/>
      <c r="I158" s="14"/>
      <c r="J158" s="14"/>
      <c r="K158" s="18">
        <v>0</v>
      </c>
      <c r="L158" s="14"/>
      <c r="M158" s="18">
        <v>0</v>
      </c>
      <c r="N158" s="14"/>
      <c r="O158" s="18">
        <v>0</v>
      </c>
      <c r="P158" s="14"/>
      <c r="Q158" s="18">
        <v>0</v>
      </c>
      <c r="R158" s="13"/>
      <c r="S158" s="18">
        <v>1</v>
      </c>
      <c r="T158" s="13"/>
      <c r="U158" s="13"/>
      <c r="V158" s="13"/>
      <c r="W158" s="14"/>
      <c r="X158" s="13"/>
      <c r="Y158" s="14"/>
      <c r="Z158" s="13"/>
      <c r="AA158" s="14"/>
      <c r="AB158" s="13"/>
      <c r="AC158" s="18">
        <v>0</v>
      </c>
      <c r="AD158" s="13"/>
      <c r="AE158" s="13"/>
      <c r="AF158" s="13"/>
      <c r="AG158" s="13"/>
      <c r="AH158" s="13"/>
      <c r="AI158" s="39">
        <v>0</v>
      </c>
      <c r="AJ158" s="13"/>
      <c r="AK158" s="13"/>
      <c r="AL158" s="7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39">
        <v>0</v>
      </c>
      <c r="AZ158" s="13"/>
      <c r="BA158" s="39">
        <v>0</v>
      </c>
      <c r="BB158" s="13"/>
      <c r="BC158" s="39">
        <v>0</v>
      </c>
      <c r="BE158" s="39">
        <v>0</v>
      </c>
    </row>
    <row r="159" spans="1:57" hidden="1" outlineLevel="1" x14ac:dyDescent="0.3">
      <c r="A159" s="1"/>
      <c r="B159" s="2">
        <v>5</v>
      </c>
      <c r="C159" s="2">
        <v>4</v>
      </c>
      <c r="D159" s="1" t="s">
        <v>169</v>
      </c>
      <c r="E159" s="13"/>
      <c r="F159" s="14"/>
      <c r="G159" s="14"/>
      <c r="H159" s="14"/>
      <c r="I159" s="14"/>
      <c r="J159" s="14"/>
      <c r="K159" s="18">
        <v>0</v>
      </c>
      <c r="L159" s="14"/>
      <c r="M159" s="18">
        <v>2</v>
      </c>
      <c r="N159" s="14"/>
      <c r="O159" s="18">
        <v>2</v>
      </c>
      <c r="P159" s="14"/>
      <c r="Q159" s="18">
        <v>2</v>
      </c>
      <c r="R159" s="13"/>
      <c r="S159" s="18">
        <v>1</v>
      </c>
      <c r="T159" s="13"/>
      <c r="U159" s="13"/>
      <c r="V159" s="13"/>
      <c r="W159" s="14"/>
      <c r="X159" s="13"/>
      <c r="Y159" s="14"/>
      <c r="Z159" s="13"/>
      <c r="AA159" s="14"/>
      <c r="AB159" s="13"/>
      <c r="AC159" s="18">
        <v>3</v>
      </c>
      <c r="AD159" s="13"/>
      <c r="AE159" s="13"/>
      <c r="AF159" s="13"/>
      <c r="AG159" s="13"/>
      <c r="AH159" s="13"/>
      <c r="AI159" s="39">
        <v>1</v>
      </c>
      <c r="AJ159" s="13"/>
      <c r="AK159" s="13"/>
      <c r="AL159" s="7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39">
        <v>1</v>
      </c>
      <c r="AZ159" s="13"/>
      <c r="BA159" s="39">
        <v>3</v>
      </c>
      <c r="BB159" s="13"/>
      <c r="BC159" s="39">
        <v>3</v>
      </c>
      <c r="BE159" s="39">
        <v>0</v>
      </c>
    </row>
    <row r="160" spans="1:57" hidden="1" outlineLevel="1" x14ac:dyDescent="0.3">
      <c r="A160" s="1"/>
      <c r="B160" s="2">
        <v>3</v>
      </c>
      <c r="C160" s="2">
        <v>3</v>
      </c>
      <c r="D160" s="1" t="s">
        <v>170</v>
      </c>
      <c r="E160" s="13"/>
      <c r="F160" s="14"/>
      <c r="G160" s="14"/>
      <c r="H160" s="14"/>
      <c r="I160" s="14"/>
      <c r="J160" s="14"/>
      <c r="K160" s="18">
        <v>0</v>
      </c>
      <c r="L160" s="14"/>
      <c r="M160" s="18">
        <v>0</v>
      </c>
      <c r="N160" s="14"/>
      <c r="O160" s="18">
        <v>0</v>
      </c>
      <c r="P160" s="14"/>
      <c r="Q160" s="18">
        <v>0</v>
      </c>
      <c r="R160" s="13"/>
      <c r="S160" s="18">
        <v>0</v>
      </c>
      <c r="T160" s="13"/>
      <c r="U160" s="13"/>
      <c r="V160" s="13"/>
      <c r="W160" s="14"/>
      <c r="X160" s="13"/>
      <c r="Y160" s="14"/>
      <c r="Z160" s="13"/>
      <c r="AA160" s="14"/>
      <c r="AB160" s="13"/>
      <c r="AC160" s="18">
        <v>1</v>
      </c>
      <c r="AD160" s="13"/>
      <c r="AE160" s="13"/>
      <c r="AF160" s="13"/>
      <c r="AG160" s="13"/>
      <c r="AH160" s="13"/>
      <c r="AI160" s="39">
        <v>0</v>
      </c>
      <c r="AJ160" s="13"/>
      <c r="AK160" s="13"/>
      <c r="AL160" s="7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39">
        <v>0</v>
      </c>
      <c r="AZ160" s="13"/>
      <c r="BA160" s="39">
        <v>1</v>
      </c>
      <c r="BB160" s="13"/>
      <c r="BC160" s="39">
        <v>1</v>
      </c>
      <c r="BE160" s="39">
        <v>0</v>
      </c>
    </row>
    <row r="161" spans="1:57" hidden="1" outlineLevel="1" x14ac:dyDescent="0.3">
      <c r="A161" s="1"/>
      <c r="B161" s="2">
        <v>2</v>
      </c>
      <c r="C161" s="2">
        <v>2</v>
      </c>
      <c r="D161" s="1" t="s">
        <v>171</v>
      </c>
      <c r="E161" s="13"/>
      <c r="F161" s="14"/>
      <c r="G161" s="14"/>
      <c r="H161" s="14"/>
      <c r="I161" s="14"/>
      <c r="J161" s="14"/>
      <c r="K161" s="18">
        <v>0</v>
      </c>
      <c r="L161" s="14"/>
      <c r="M161" s="18">
        <v>0</v>
      </c>
      <c r="N161" s="14"/>
      <c r="O161" s="18">
        <v>0</v>
      </c>
      <c r="P161" s="14"/>
      <c r="Q161" s="18">
        <v>0</v>
      </c>
      <c r="R161" s="13"/>
      <c r="S161" s="18">
        <v>1</v>
      </c>
      <c r="T161" s="13"/>
      <c r="U161" s="13"/>
      <c r="V161" s="13"/>
      <c r="W161" s="14"/>
      <c r="X161" s="13"/>
      <c r="Y161" s="14"/>
      <c r="Z161" s="13"/>
      <c r="AA161" s="14"/>
      <c r="AB161" s="13"/>
      <c r="AC161" s="18">
        <v>0</v>
      </c>
      <c r="AD161" s="13"/>
      <c r="AE161" s="13"/>
      <c r="AF161" s="13"/>
      <c r="AG161" s="13"/>
      <c r="AH161" s="13"/>
      <c r="AI161" s="39">
        <v>0</v>
      </c>
      <c r="AJ161" s="13"/>
      <c r="AK161" s="13"/>
      <c r="AL161" s="7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39">
        <v>0</v>
      </c>
      <c r="AZ161" s="13"/>
      <c r="BA161" s="39">
        <v>0</v>
      </c>
      <c r="BB161" s="13"/>
      <c r="BC161" s="39">
        <v>0</v>
      </c>
      <c r="BE161" s="39">
        <v>0</v>
      </c>
    </row>
    <row r="162" spans="1:57" hidden="1" outlineLevel="1" x14ac:dyDescent="0.3">
      <c r="A162" s="1"/>
      <c r="B162" s="2">
        <v>1</v>
      </c>
      <c r="C162" s="2">
        <v>1</v>
      </c>
      <c r="D162" s="1" t="s">
        <v>172</v>
      </c>
      <c r="E162" s="13"/>
      <c r="F162" s="14"/>
      <c r="G162" s="14"/>
      <c r="H162" s="14"/>
      <c r="I162" s="14"/>
      <c r="J162" s="14"/>
      <c r="K162" s="18">
        <v>1</v>
      </c>
      <c r="L162" s="14"/>
      <c r="M162" s="18">
        <v>1</v>
      </c>
      <c r="N162" s="14"/>
      <c r="O162" s="18">
        <v>1</v>
      </c>
      <c r="P162" s="14"/>
      <c r="Q162" s="18">
        <v>1</v>
      </c>
      <c r="R162" s="13"/>
      <c r="S162" s="18">
        <v>0</v>
      </c>
      <c r="T162" s="13"/>
      <c r="U162" s="13"/>
      <c r="V162" s="13"/>
      <c r="W162" s="14"/>
      <c r="X162" s="13"/>
      <c r="Y162" s="14"/>
      <c r="Z162" s="13"/>
      <c r="AA162" s="14"/>
      <c r="AB162" s="13"/>
      <c r="AC162" s="18">
        <v>0</v>
      </c>
      <c r="AD162" s="13"/>
      <c r="AE162" s="13"/>
      <c r="AF162" s="13"/>
      <c r="AG162" s="13"/>
      <c r="AH162" s="13"/>
      <c r="AI162" s="39">
        <v>0</v>
      </c>
      <c r="AJ162" s="13"/>
      <c r="AK162" s="13"/>
      <c r="AL162" s="7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39">
        <v>1</v>
      </c>
      <c r="AZ162" s="13"/>
      <c r="BA162" s="39">
        <v>0</v>
      </c>
      <c r="BB162" s="13"/>
      <c r="BC162" s="39">
        <v>0</v>
      </c>
      <c r="BE162" s="39">
        <v>1</v>
      </c>
    </row>
    <row r="163" spans="1:57" hidden="1" outlineLevel="1" x14ac:dyDescent="0.3">
      <c r="A163" s="1"/>
      <c r="B163" s="2">
        <v>0</v>
      </c>
      <c r="C163" s="2">
        <v>0</v>
      </c>
      <c r="D163" s="1" t="s">
        <v>173</v>
      </c>
      <c r="E163" s="13"/>
      <c r="F163" s="14"/>
      <c r="G163" s="14"/>
      <c r="H163" s="14"/>
      <c r="I163" s="14"/>
      <c r="J163" s="14"/>
      <c r="K163" s="18">
        <v>1</v>
      </c>
      <c r="L163" s="14"/>
      <c r="M163" s="18">
        <v>1</v>
      </c>
      <c r="N163" s="14"/>
      <c r="O163" s="18">
        <v>1</v>
      </c>
      <c r="P163" s="14"/>
      <c r="Q163" s="18">
        <v>1</v>
      </c>
      <c r="R163" s="13"/>
      <c r="S163" s="18">
        <v>0</v>
      </c>
      <c r="T163" s="13"/>
      <c r="U163" s="13"/>
      <c r="V163" s="13"/>
      <c r="W163" s="14"/>
      <c r="X163" s="13"/>
      <c r="Y163" s="14"/>
      <c r="Z163" s="13"/>
      <c r="AA163" s="14"/>
      <c r="AB163" s="13"/>
      <c r="AC163" s="18">
        <v>0</v>
      </c>
      <c r="AD163" s="13"/>
      <c r="AE163" s="13"/>
      <c r="AF163" s="13"/>
      <c r="AG163" s="13"/>
      <c r="AH163" s="13"/>
      <c r="AI163" s="39">
        <v>0</v>
      </c>
      <c r="AJ163" s="13"/>
      <c r="AK163" s="13"/>
      <c r="AL163" s="7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39">
        <v>1</v>
      </c>
      <c r="AZ163" s="13"/>
      <c r="BA163" s="39">
        <v>0</v>
      </c>
      <c r="BB163" s="13"/>
      <c r="BC163" s="39">
        <v>0</v>
      </c>
      <c r="BE163" s="39">
        <v>0</v>
      </c>
    </row>
    <row r="164" spans="1:57" s="26" customFormat="1" collapsed="1" x14ac:dyDescent="0.3">
      <c r="A164" s="21" t="s">
        <v>318</v>
      </c>
      <c r="B164" s="21"/>
      <c r="C164" s="21"/>
      <c r="D164" s="21"/>
      <c r="E164" s="21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5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32" t="str">
        <f>BitsTo32Bit(AW165:AW172)</f>
        <v>0</v>
      </c>
      <c r="AX164" s="22"/>
      <c r="AY164" s="22"/>
      <c r="AZ164" s="21"/>
      <c r="BA164" s="22"/>
      <c r="BB164" s="21"/>
      <c r="BC164" s="22"/>
      <c r="BE164" s="32" t="str">
        <f>BitsTo32Bit(BE165:BE172)</f>
        <v>0</v>
      </c>
    </row>
    <row r="165" spans="1:57" s="26" customFormat="1" hidden="1" outlineLevel="1" x14ac:dyDescent="0.3">
      <c r="A165" s="21"/>
      <c r="B165" s="21">
        <v>31</v>
      </c>
      <c r="C165" s="21">
        <v>11</v>
      </c>
      <c r="D165" s="21" t="s">
        <v>1</v>
      </c>
      <c r="E165" s="21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5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3">
        <v>0</v>
      </c>
      <c r="AX165" s="22"/>
      <c r="AY165" s="22"/>
      <c r="AZ165" s="21"/>
      <c r="BA165" s="22"/>
      <c r="BB165" s="21"/>
      <c r="BC165" s="22"/>
      <c r="BE165" s="23">
        <v>0</v>
      </c>
    </row>
    <row r="166" spans="1:57" s="26" customFormat="1" hidden="1" outlineLevel="1" x14ac:dyDescent="0.3">
      <c r="A166" s="21"/>
      <c r="B166" s="21">
        <v>10</v>
      </c>
      <c r="C166" s="21">
        <v>9</v>
      </c>
      <c r="D166" s="21" t="s">
        <v>319</v>
      </c>
      <c r="E166" s="21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5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3">
        <v>0</v>
      </c>
      <c r="AX166" s="22"/>
      <c r="AY166" s="22"/>
      <c r="AZ166" s="21"/>
      <c r="BA166" s="22"/>
      <c r="BB166" s="21"/>
      <c r="BC166" s="22"/>
      <c r="BE166" s="23">
        <v>0</v>
      </c>
    </row>
    <row r="167" spans="1:57" s="26" customFormat="1" hidden="1" outlineLevel="1" x14ac:dyDescent="0.3">
      <c r="A167" s="21"/>
      <c r="B167" s="21">
        <v>8</v>
      </c>
      <c r="C167" s="21">
        <v>8</v>
      </c>
      <c r="D167" s="21" t="s">
        <v>320</v>
      </c>
      <c r="E167" s="21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5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3">
        <v>0</v>
      </c>
      <c r="AX167" s="22"/>
      <c r="AY167" s="22"/>
      <c r="AZ167" s="21"/>
      <c r="BA167" s="22"/>
      <c r="BB167" s="21"/>
      <c r="BC167" s="22"/>
      <c r="BE167" s="23">
        <v>0</v>
      </c>
    </row>
    <row r="168" spans="1:57" s="26" customFormat="1" hidden="1" outlineLevel="1" x14ac:dyDescent="0.3">
      <c r="A168" s="21"/>
      <c r="B168" s="21">
        <v>7</v>
      </c>
      <c r="C168" s="21">
        <v>7</v>
      </c>
      <c r="D168" s="21" t="s">
        <v>321</v>
      </c>
      <c r="E168" s="21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5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3">
        <v>0</v>
      </c>
      <c r="AX168" s="22"/>
      <c r="AY168" s="22"/>
      <c r="AZ168" s="21"/>
      <c r="BA168" s="22"/>
      <c r="BB168" s="21"/>
      <c r="BC168" s="22"/>
      <c r="BE168" s="23">
        <v>0</v>
      </c>
    </row>
    <row r="169" spans="1:57" s="26" customFormat="1" hidden="1" outlineLevel="1" x14ac:dyDescent="0.3">
      <c r="A169" s="21"/>
      <c r="B169" s="21">
        <v>6</v>
      </c>
      <c r="C169" s="21">
        <v>5</v>
      </c>
      <c r="D169" s="21" t="s">
        <v>322</v>
      </c>
      <c r="E169" s="21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5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3">
        <v>0</v>
      </c>
      <c r="AX169" s="22"/>
      <c r="AY169" s="22"/>
      <c r="AZ169" s="21"/>
      <c r="BA169" s="22"/>
      <c r="BB169" s="21"/>
      <c r="BC169" s="22"/>
      <c r="BE169" s="23">
        <v>0</v>
      </c>
    </row>
    <row r="170" spans="1:57" s="26" customFormat="1" hidden="1" outlineLevel="1" x14ac:dyDescent="0.3">
      <c r="A170" s="21"/>
      <c r="B170" s="21">
        <v>4</v>
      </c>
      <c r="C170" s="21">
        <v>4</v>
      </c>
      <c r="D170" s="21" t="s">
        <v>323</v>
      </c>
      <c r="E170" s="21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5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3">
        <v>0</v>
      </c>
      <c r="AX170" s="22"/>
      <c r="AY170" s="22"/>
      <c r="AZ170" s="21"/>
      <c r="BA170" s="22"/>
      <c r="BB170" s="21"/>
      <c r="BC170" s="22"/>
      <c r="BE170" s="23">
        <v>0</v>
      </c>
    </row>
    <row r="171" spans="1:57" s="26" customFormat="1" hidden="1" outlineLevel="1" x14ac:dyDescent="0.3">
      <c r="A171" s="21"/>
      <c r="B171" s="21">
        <v>3</v>
      </c>
      <c r="C171" s="21">
        <v>1</v>
      </c>
      <c r="D171" s="21" t="s">
        <v>324</v>
      </c>
      <c r="E171" s="21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5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3">
        <v>0</v>
      </c>
      <c r="AX171" s="22"/>
      <c r="AY171" s="22"/>
      <c r="AZ171" s="21"/>
      <c r="BA171" s="22"/>
      <c r="BB171" s="21"/>
      <c r="BC171" s="22"/>
      <c r="BE171" s="23">
        <v>0</v>
      </c>
    </row>
    <row r="172" spans="1:57" s="26" customFormat="1" hidden="1" outlineLevel="1" x14ac:dyDescent="0.3">
      <c r="A172" s="21"/>
      <c r="B172" s="21">
        <v>0</v>
      </c>
      <c r="C172" s="21">
        <v>0</v>
      </c>
      <c r="D172" s="21" t="s">
        <v>325</v>
      </c>
      <c r="E172" s="21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5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3">
        <v>0</v>
      </c>
      <c r="AX172" s="22"/>
      <c r="AY172" s="22"/>
      <c r="AZ172" s="21"/>
      <c r="BA172" s="22"/>
      <c r="BB172" s="21"/>
      <c r="BC172" s="22"/>
      <c r="BE172" s="23">
        <v>0</v>
      </c>
    </row>
    <row r="173" spans="1:57" collapsed="1" x14ac:dyDescent="0.3">
      <c r="A173" s="1" t="s">
        <v>59</v>
      </c>
      <c r="B173" s="2"/>
      <c r="C173" s="2"/>
      <c r="D173" s="1"/>
      <c r="E173" s="13"/>
      <c r="F173" s="14"/>
      <c r="G173" s="14"/>
      <c r="H173" s="20" t="str">
        <f>BitsTo32Bit(H174:H187)</f>
        <v>05041</v>
      </c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3"/>
      <c r="T173" s="13"/>
      <c r="U173" s="13"/>
      <c r="V173" s="13"/>
      <c r="W173" s="13"/>
      <c r="X173" s="13"/>
      <c r="Y173" s="13"/>
      <c r="Z173" s="13"/>
      <c r="AA173" s="13"/>
      <c r="AB173" s="14"/>
      <c r="AC173" s="13"/>
      <c r="AD173" s="13"/>
      <c r="AE173" s="13"/>
      <c r="AF173" s="13"/>
      <c r="AG173" s="13"/>
      <c r="AH173" s="14"/>
      <c r="AI173" s="13"/>
      <c r="AJ173" s="13"/>
      <c r="AK173" s="13"/>
      <c r="AL173" s="13"/>
      <c r="AM173" s="13"/>
      <c r="AN173" s="14"/>
      <c r="AO173" s="13"/>
      <c r="AP173" s="13"/>
      <c r="AQ173" s="13"/>
      <c r="AR173" s="13"/>
      <c r="AS173" s="13"/>
      <c r="AT173" s="13"/>
      <c r="AU173" s="13"/>
      <c r="AV173" s="13"/>
      <c r="AW173" s="13"/>
      <c r="AX173" s="20" t="str">
        <f>BitsTo32Bit(AX174:AX187)</f>
        <v>035003</v>
      </c>
      <c r="AY173" s="13"/>
      <c r="AZ173" s="20" t="str">
        <f>BitsTo32Bit(AZ174:AZ187)</f>
        <v>030001</v>
      </c>
      <c r="BA173" s="13"/>
      <c r="BB173" s="20" t="str">
        <f>BitsTo32Bit(BB174:BB187)</f>
        <v>030001</v>
      </c>
      <c r="BC173" s="13"/>
      <c r="BD173" s="20" t="str">
        <f>BitsTo32Bit(BD174:BD187)</f>
        <v>0</v>
      </c>
    </row>
    <row r="174" spans="1:57" hidden="1" outlineLevel="1" x14ac:dyDescent="0.3">
      <c r="A174" s="1"/>
      <c r="B174" s="2">
        <v>31</v>
      </c>
      <c r="C174" s="2">
        <v>30</v>
      </c>
      <c r="D174" s="1" t="s">
        <v>1</v>
      </c>
      <c r="E174" s="13"/>
      <c r="F174" s="16"/>
      <c r="G174" s="14"/>
      <c r="H174" s="15">
        <v>0</v>
      </c>
      <c r="I174" s="14"/>
      <c r="J174" s="14"/>
      <c r="K174" s="14"/>
      <c r="L174" s="14"/>
      <c r="M174" s="14"/>
      <c r="N174" s="14"/>
      <c r="O174" s="14"/>
      <c r="P174" s="14"/>
      <c r="Q174" s="14"/>
      <c r="R174" s="16"/>
      <c r="S174" s="13"/>
      <c r="T174" s="13"/>
      <c r="U174" s="13"/>
      <c r="V174" s="13"/>
      <c r="W174" s="13"/>
      <c r="X174" s="13"/>
      <c r="Y174" s="13"/>
      <c r="Z174" s="13"/>
      <c r="AA174" s="13"/>
      <c r="AB174" s="16"/>
      <c r="AC174" s="13"/>
      <c r="AD174" s="13"/>
      <c r="AE174" s="13"/>
      <c r="AF174" s="13"/>
      <c r="AG174" s="13"/>
      <c r="AH174" s="14"/>
      <c r="AI174" s="13"/>
      <c r="AJ174" s="13"/>
      <c r="AK174" s="13"/>
      <c r="AL174" s="13"/>
      <c r="AM174" s="13"/>
      <c r="AN174" s="14"/>
      <c r="AO174" s="13"/>
      <c r="AP174" s="13"/>
      <c r="AQ174" s="13"/>
      <c r="AR174" s="13"/>
      <c r="AS174" s="13"/>
      <c r="AT174" s="13"/>
      <c r="AU174" s="13"/>
      <c r="AV174" s="13"/>
      <c r="AW174" s="13"/>
      <c r="AX174" s="18">
        <v>0</v>
      </c>
      <c r="AY174" s="13"/>
      <c r="AZ174" s="18">
        <v>0</v>
      </c>
      <c r="BA174" s="13"/>
      <c r="BB174" s="18">
        <v>0</v>
      </c>
      <c r="BC174" s="13"/>
      <c r="BD174" s="18">
        <v>0</v>
      </c>
    </row>
    <row r="175" spans="1:57" hidden="1" outlineLevel="1" x14ac:dyDescent="0.3">
      <c r="A175" s="1"/>
      <c r="B175" s="2">
        <v>29</v>
      </c>
      <c r="C175" s="2">
        <v>24</v>
      </c>
      <c r="D175" s="1" t="s">
        <v>60</v>
      </c>
      <c r="E175" s="13"/>
      <c r="F175" s="16"/>
      <c r="G175" s="14"/>
      <c r="H175" s="15">
        <v>0</v>
      </c>
      <c r="I175" s="14"/>
      <c r="J175" s="14"/>
      <c r="K175" s="14"/>
      <c r="L175" s="14"/>
      <c r="M175" s="14"/>
      <c r="N175" s="14"/>
      <c r="O175" s="14"/>
      <c r="P175" s="14"/>
      <c r="Q175" s="14"/>
      <c r="R175" s="16"/>
      <c r="S175" s="13"/>
      <c r="T175" s="13"/>
      <c r="U175" s="13"/>
      <c r="V175" s="13"/>
      <c r="W175" s="13"/>
      <c r="X175" s="13"/>
      <c r="Y175" s="13"/>
      <c r="Z175" s="13"/>
      <c r="AA175" s="13"/>
      <c r="AB175" s="16"/>
      <c r="AC175" s="13"/>
      <c r="AD175" s="13"/>
      <c r="AE175" s="13"/>
      <c r="AF175" s="13"/>
      <c r="AG175" s="13"/>
      <c r="AH175" s="14"/>
      <c r="AI175" s="13"/>
      <c r="AJ175" s="13"/>
      <c r="AK175" s="13"/>
      <c r="AL175" s="13"/>
      <c r="AM175" s="13"/>
      <c r="AN175" s="14"/>
      <c r="AO175" s="13"/>
      <c r="AP175" s="13"/>
      <c r="AQ175" s="13"/>
      <c r="AR175" s="13"/>
      <c r="AS175" s="13"/>
      <c r="AT175" s="13"/>
      <c r="AU175" s="13"/>
      <c r="AV175" s="13"/>
      <c r="AW175" s="13"/>
      <c r="AX175" s="18">
        <v>0</v>
      </c>
      <c r="AY175" s="13"/>
      <c r="AZ175" s="18">
        <v>0</v>
      </c>
      <c r="BA175" s="13"/>
      <c r="BB175" s="18">
        <v>0</v>
      </c>
      <c r="BC175" s="13"/>
      <c r="BD175" s="18">
        <v>0</v>
      </c>
    </row>
    <row r="176" spans="1:57" hidden="1" outlineLevel="1" x14ac:dyDescent="0.3">
      <c r="A176" s="1"/>
      <c r="B176" s="2">
        <v>23</v>
      </c>
      <c r="C176" s="2">
        <v>18</v>
      </c>
      <c r="D176" s="1" t="s">
        <v>1</v>
      </c>
      <c r="E176" s="13"/>
      <c r="F176" s="16"/>
      <c r="G176" s="14"/>
      <c r="H176" s="15">
        <v>0</v>
      </c>
      <c r="I176" s="14"/>
      <c r="J176" s="14"/>
      <c r="K176" s="14"/>
      <c r="L176" s="14"/>
      <c r="M176" s="14"/>
      <c r="N176" s="14"/>
      <c r="O176" s="14"/>
      <c r="P176" s="14"/>
      <c r="Q176" s="14"/>
      <c r="R176" s="16"/>
      <c r="S176" s="13"/>
      <c r="T176" s="13"/>
      <c r="U176" s="13"/>
      <c r="V176" s="13"/>
      <c r="W176" s="13"/>
      <c r="X176" s="13"/>
      <c r="Y176" s="13"/>
      <c r="Z176" s="13"/>
      <c r="AA176" s="13"/>
      <c r="AB176" s="16"/>
      <c r="AC176" s="13"/>
      <c r="AD176" s="13"/>
      <c r="AE176" s="13"/>
      <c r="AF176" s="13"/>
      <c r="AG176" s="13"/>
      <c r="AH176" s="14"/>
      <c r="AI176" s="13"/>
      <c r="AJ176" s="13"/>
      <c r="AK176" s="13"/>
      <c r="AL176" s="13"/>
      <c r="AM176" s="13"/>
      <c r="AN176" s="14"/>
      <c r="AO176" s="13"/>
      <c r="AP176" s="13"/>
      <c r="AQ176" s="13"/>
      <c r="AR176" s="13"/>
      <c r="AS176" s="13"/>
      <c r="AT176" s="13"/>
      <c r="AU176" s="13"/>
      <c r="AV176" s="13"/>
      <c r="AW176" s="13"/>
      <c r="AX176" s="18">
        <v>0</v>
      </c>
      <c r="AY176" s="13"/>
      <c r="AZ176" s="18">
        <v>0</v>
      </c>
      <c r="BA176" s="13"/>
      <c r="BB176" s="18">
        <v>0</v>
      </c>
      <c r="BC176" s="13"/>
      <c r="BD176" s="18">
        <v>0</v>
      </c>
    </row>
    <row r="177" spans="1:56" hidden="1" outlineLevel="1" x14ac:dyDescent="0.3">
      <c r="A177" s="1"/>
      <c r="B177" s="2">
        <v>17</v>
      </c>
      <c r="C177" s="2">
        <v>17</v>
      </c>
      <c r="D177" s="1" t="s">
        <v>61</v>
      </c>
      <c r="E177" s="13"/>
      <c r="F177" s="16"/>
      <c r="G177" s="14"/>
      <c r="H177" s="15">
        <v>0</v>
      </c>
      <c r="I177" s="14"/>
      <c r="J177" s="14"/>
      <c r="K177" s="14"/>
      <c r="L177" s="14"/>
      <c r="M177" s="14"/>
      <c r="N177" s="14"/>
      <c r="O177" s="14"/>
      <c r="P177" s="14"/>
      <c r="Q177" s="14"/>
      <c r="R177" s="16"/>
      <c r="S177" s="13"/>
      <c r="T177" s="13"/>
      <c r="U177" s="13"/>
      <c r="V177" s="13"/>
      <c r="W177" s="13"/>
      <c r="X177" s="13"/>
      <c r="Y177" s="13"/>
      <c r="Z177" s="13"/>
      <c r="AA177" s="13"/>
      <c r="AB177" s="16"/>
      <c r="AC177" s="13"/>
      <c r="AD177" s="13"/>
      <c r="AE177" s="13"/>
      <c r="AF177" s="13"/>
      <c r="AG177" s="13"/>
      <c r="AH177" s="14"/>
      <c r="AI177" s="13"/>
      <c r="AJ177" s="13"/>
      <c r="AK177" s="13"/>
      <c r="AL177" s="13"/>
      <c r="AM177" s="13"/>
      <c r="AN177" s="14"/>
      <c r="AO177" s="13"/>
      <c r="AP177" s="13"/>
      <c r="AQ177" s="13"/>
      <c r="AR177" s="13"/>
      <c r="AS177" s="13"/>
      <c r="AT177" s="13"/>
      <c r="AU177" s="13"/>
      <c r="AV177" s="13"/>
      <c r="AW177" s="13"/>
      <c r="AX177" s="18">
        <v>1</v>
      </c>
      <c r="AY177" s="13"/>
      <c r="AZ177" s="18">
        <v>1</v>
      </c>
      <c r="BA177" s="13"/>
      <c r="BB177" s="18">
        <v>1</v>
      </c>
      <c r="BC177" s="13"/>
      <c r="BD177" s="18">
        <v>0</v>
      </c>
    </row>
    <row r="178" spans="1:56" hidden="1" outlineLevel="1" x14ac:dyDescent="0.3">
      <c r="A178" s="1"/>
      <c r="B178" s="2">
        <v>16</v>
      </c>
      <c r="C178" s="2">
        <v>16</v>
      </c>
      <c r="D178" s="1" t="s">
        <v>62</v>
      </c>
      <c r="E178" s="13"/>
      <c r="F178" s="16"/>
      <c r="G178" s="14"/>
      <c r="H178" s="15">
        <v>0</v>
      </c>
      <c r="I178" s="14"/>
      <c r="J178" s="14"/>
      <c r="K178" s="14"/>
      <c r="L178" s="14"/>
      <c r="M178" s="14"/>
      <c r="N178" s="14"/>
      <c r="O178" s="14"/>
      <c r="P178" s="14"/>
      <c r="Q178" s="14"/>
      <c r="R178" s="16"/>
      <c r="S178" s="13"/>
      <c r="T178" s="13"/>
      <c r="U178" s="13"/>
      <c r="V178" s="13"/>
      <c r="W178" s="13"/>
      <c r="X178" s="13"/>
      <c r="Y178" s="13"/>
      <c r="Z178" s="13"/>
      <c r="AA178" s="13"/>
      <c r="AB178" s="16"/>
      <c r="AC178" s="13"/>
      <c r="AD178" s="13"/>
      <c r="AE178" s="13"/>
      <c r="AF178" s="13"/>
      <c r="AG178" s="13"/>
      <c r="AH178" s="14"/>
      <c r="AI178" s="13"/>
      <c r="AJ178" s="13"/>
      <c r="AK178" s="13"/>
      <c r="AL178" s="13"/>
      <c r="AM178" s="13"/>
      <c r="AN178" s="14"/>
      <c r="AO178" s="13"/>
      <c r="AP178" s="13"/>
      <c r="AQ178" s="13"/>
      <c r="AR178" s="13"/>
      <c r="AS178" s="13"/>
      <c r="AT178" s="13"/>
      <c r="AU178" s="13"/>
      <c r="AV178" s="13"/>
      <c r="AW178" s="13"/>
      <c r="AX178" s="18">
        <v>1</v>
      </c>
      <c r="AY178" s="13"/>
      <c r="AZ178" s="18">
        <v>1</v>
      </c>
      <c r="BA178" s="13"/>
      <c r="BB178" s="18">
        <v>1</v>
      </c>
      <c r="BC178" s="13"/>
      <c r="BD178" s="18">
        <v>0</v>
      </c>
    </row>
    <row r="179" spans="1:56" hidden="1" outlineLevel="1" x14ac:dyDescent="0.3">
      <c r="A179" s="1"/>
      <c r="B179" s="2">
        <v>15</v>
      </c>
      <c r="C179" s="2">
        <v>8</v>
      </c>
      <c r="D179" s="1" t="s">
        <v>63</v>
      </c>
      <c r="E179" s="13"/>
      <c r="F179" s="14"/>
      <c r="G179" s="14"/>
      <c r="H179" s="18">
        <v>50</v>
      </c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3"/>
      <c r="T179" s="13"/>
      <c r="U179" s="13"/>
      <c r="V179" s="13"/>
      <c r="W179" s="13"/>
      <c r="X179" s="13"/>
      <c r="Y179" s="13"/>
      <c r="Z179" s="13"/>
      <c r="AA179" s="13"/>
      <c r="AB179" s="14"/>
      <c r="AC179" s="13"/>
      <c r="AD179" s="13"/>
      <c r="AE179" s="13"/>
      <c r="AF179" s="13"/>
      <c r="AG179" s="13"/>
      <c r="AH179" s="14"/>
      <c r="AI179" s="13"/>
      <c r="AJ179" s="13"/>
      <c r="AK179" s="13"/>
      <c r="AL179" s="13"/>
      <c r="AM179" s="13"/>
      <c r="AN179" s="14"/>
      <c r="AO179" s="13"/>
      <c r="AP179" s="13"/>
      <c r="AQ179" s="13"/>
      <c r="AR179" s="13"/>
      <c r="AS179" s="13"/>
      <c r="AT179" s="13"/>
      <c r="AU179" s="13"/>
      <c r="AV179" s="13"/>
      <c r="AW179" s="13"/>
      <c r="AX179" s="18">
        <v>50</v>
      </c>
      <c r="AY179" s="13"/>
      <c r="AZ179" s="18">
        <v>0</v>
      </c>
      <c r="BA179" s="13"/>
      <c r="BB179" s="18">
        <v>0</v>
      </c>
      <c r="BC179" s="13"/>
      <c r="BD179" s="18">
        <v>0</v>
      </c>
    </row>
    <row r="180" spans="1:56" hidden="1" outlineLevel="1" x14ac:dyDescent="0.3">
      <c r="A180" s="1"/>
      <c r="B180" s="2">
        <v>7</v>
      </c>
      <c r="C180" s="2">
        <v>7</v>
      </c>
      <c r="D180" s="1" t="s">
        <v>1</v>
      </c>
      <c r="E180" s="13"/>
      <c r="F180" s="16"/>
      <c r="G180" s="14"/>
      <c r="H180" s="15">
        <v>0</v>
      </c>
      <c r="I180" s="14"/>
      <c r="J180" s="14"/>
      <c r="K180" s="14"/>
      <c r="L180" s="14"/>
      <c r="M180" s="14"/>
      <c r="N180" s="14"/>
      <c r="O180" s="14"/>
      <c r="P180" s="14"/>
      <c r="Q180" s="14"/>
      <c r="R180" s="16"/>
      <c r="S180" s="13"/>
      <c r="T180" s="13"/>
      <c r="U180" s="13"/>
      <c r="V180" s="13"/>
      <c r="W180" s="13"/>
      <c r="X180" s="13"/>
      <c r="Y180" s="13"/>
      <c r="Z180" s="13"/>
      <c r="AA180" s="13"/>
      <c r="AB180" s="16"/>
      <c r="AC180" s="13"/>
      <c r="AD180" s="13"/>
      <c r="AE180" s="13"/>
      <c r="AF180" s="13"/>
      <c r="AG180" s="13"/>
      <c r="AH180" s="14"/>
      <c r="AI180" s="13"/>
      <c r="AJ180" s="13"/>
      <c r="AK180" s="13"/>
      <c r="AL180" s="13"/>
      <c r="AM180" s="13"/>
      <c r="AN180" s="14"/>
      <c r="AO180" s="13"/>
      <c r="AP180" s="13"/>
      <c r="AQ180" s="13"/>
      <c r="AR180" s="13"/>
      <c r="AS180" s="13"/>
      <c r="AT180" s="13"/>
      <c r="AU180" s="13"/>
      <c r="AV180" s="13"/>
      <c r="AW180" s="13"/>
      <c r="AX180" s="18">
        <v>0</v>
      </c>
      <c r="AY180" s="13"/>
      <c r="AZ180" s="18">
        <v>0</v>
      </c>
      <c r="BA180" s="13"/>
      <c r="BB180" s="18">
        <v>0</v>
      </c>
      <c r="BC180" s="13"/>
      <c r="BD180" s="18">
        <v>0</v>
      </c>
    </row>
    <row r="181" spans="1:56" hidden="1" outlineLevel="1" x14ac:dyDescent="0.3">
      <c r="A181" s="1"/>
      <c r="B181" s="2">
        <v>6</v>
      </c>
      <c r="C181" s="2">
        <v>6</v>
      </c>
      <c r="D181" s="1" t="s">
        <v>64</v>
      </c>
      <c r="E181" s="13"/>
      <c r="F181" s="16"/>
      <c r="G181" s="14"/>
      <c r="H181" s="15">
        <v>1</v>
      </c>
      <c r="I181" s="14"/>
      <c r="J181" s="14"/>
      <c r="K181" s="14"/>
      <c r="L181" s="14"/>
      <c r="M181" s="14"/>
      <c r="N181" s="14"/>
      <c r="O181" s="14"/>
      <c r="P181" s="14"/>
      <c r="Q181" s="14"/>
      <c r="R181" s="16"/>
      <c r="S181" s="13"/>
      <c r="T181" s="13"/>
      <c r="U181" s="13"/>
      <c r="V181" s="13"/>
      <c r="W181" s="13"/>
      <c r="X181" s="13"/>
      <c r="Y181" s="13"/>
      <c r="Z181" s="13"/>
      <c r="AA181" s="13"/>
      <c r="AB181" s="16"/>
      <c r="AC181" s="13"/>
      <c r="AD181" s="13"/>
      <c r="AE181" s="13"/>
      <c r="AF181" s="13"/>
      <c r="AG181" s="13"/>
      <c r="AH181" s="14"/>
      <c r="AI181" s="13"/>
      <c r="AJ181" s="13"/>
      <c r="AK181" s="13"/>
      <c r="AL181" s="13"/>
      <c r="AM181" s="13"/>
      <c r="AN181" s="14"/>
      <c r="AO181" s="13"/>
      <c r="AP181" s="13"/>
      <c r="AQ181" s="13"/>
      <c r="AR181" s="13"/>
      <c r="AS181" s="13"/>
      <c r="AT181" s="13"/>
      <c r="AU181" s="13"/>
      <c r="AV181" s="13"/>
      <c r="AW181" s="13"/>
      <c r="AX181" s="18">
        <v>0</v>
      </c>
      <c r="AY181" s="13"/>
      <c r="AZ181" s="18">
        <v>0</v>
      </c>
      <c r="BA181" s="13"/>
      <c r="BB181" s="18">
        <v>0</v>
      </c>
      <c r="BC181" s="13"/>
      <c r="BD181" s="18">
        <v>0</v>
      </c>
    </row>
    <row r="182" spans="1:56" hidden="1" outlineLevel="1" x14ac:dyDescent="0.3">
      <c r="A182" s="1"/>
      <c r="B182" s="2">
        <v>5</v>
      </c>
      <c r="C182" s="2">
        <v>5</v>
      </c>
      <c r="D182" s="1" t="s">
        <v>65</v>
      </c>
      <c r="E182" s="13"/>
      <c r="F182" s="16"/>
      <c r="G182" s="14"/>
      <c r="H182" s="15">
        <v>0</v>
      </c>
      <c r="I182" s="14"/>
      <c r="J182" s="14"/>
      <c r="K182" s="14"/>
      <c r="L182" s="14"/>
      <c r="M182" s="14"/>
      <c r="N182" s="14"/>
      <c r="O182" s="14"/>
      <c r="P182" s="14"/>
      <c r="Q182" s="14"/>
      <c r="R182" s="16"/>
      <c r="S182" s="13"/>
      <c r="T182" s="13"/>
      <c r="U182" s="13"/>
      <c r="V182" s="13"/>
      <c r="W182" s="13"/>
      <c r="X182" s="13"/>
      <c r="Y182" s="13"/>
      <c r="Z182" s="13"/>
      <c r="AA182" s="13"/>
      <c r="AB182" s="16"/>
      <c r="AC182" s="13"/>
      <c r="AD182" s="13"/>
      <c r="AE182" s="13"/>
      <c r="AF182" s="13"/>
      <c r="AG182" s="13"/>
      <c r="AH182" s="14"/>
      <c r="AI182" s="13"/>
      <c r="AJ182" s="13"/>
      <c r="AK182" s="13"/>
      <c r="AL182" s="13"/>
      <c r="AM182" s="13"/>
      <c r="AN182" s="14"/>
      <c r="AO182" s="13"/>
      <c r="AP182" s="13"/>
      <c r="AQ182" s="13"/>
      <c r="AR182" s="13"/>
      <c r="AS182" s="13"/>
      <c r="AT182" s="13"/>
      <c r="AU182" s="13"/>
      <c r="AV182" s="13"/>
      <c r="AW182" s="13"/>
      <c r="AX182" s="18">
        <v>0</v>
      </c>
      <c r="AY182" s="13"/>
      <c r="AZ182" s="18">
        <v>0</v>
      </c>
      <c r="BA182" s="13"/>
      <c r="BB182" s="18">
        <v>0</v>
      </c>
      <c r="BC182" s="13"/>
      <c r="BD182" s="18">
        <v>0</v>
      </c>
    </row>
    <row r="183" spans="1:56" hidden="1" outlineLevel="1" x14ac:dyDescent="0.3">
      <c r="A183" s="1"/>
      <c r="B183" s="2">
        <v>4</v>
      </c>
      <c r="C183" s="2">
        <v>4</v>
      </c>
      <c r="D183" s="1" t="s">
        <v>66</v>
      </c>
      <c r="E183" s="13"/>
      <c r="F183" s="16"/>
      <c r="G183" s="14"/>
      <c r="H183" s="15">
        <v>0</v>
      </c>
      <c r="I183" s="14"/>
      <c r="J183" s="14"/>
      <c r="K183" s="14"/>
      <c r="L183" s="14"/>
      <c r="M183" s="14"/>
      <c r="N183" s="14"/>
      <c r="O183" s="14"/>
      <c r="P183" s="14"/>
      <c r="Q183" s="14"/>
      <c r="R183" s="16"/>
      <c r="S183" s="13"/>
      <c r="T183" s="13"/>
      <c r="U183" s="13"/>
      <c r="V183" s="13"/>
      <c r="W183" s="13"/>
      <c r="X183" s="13"/>
      <c r="Y183" s="13"/>
      <c r="Z183" s="13"/>
      <c r="AA183" s="13"/>
      <c r="AB183" s="16"/>
      <c r="AC183" s="13"/>
      <c r="AD183" s="13"/>
      <c r="AE183" s="13"/>
      <c r="AF183" s="13"/>
      <c r="AG183" s="13"/>
      <c r="AH183" s="14"/>
      <c r="AI183" s="13"/>
      <c r="AJ183" s="13"/>
      <c r="AK183" s="13"/>
      <c r="AL183" s="13"/>
      <c r="AM183" s="13"/>
      <c r="AN183" s="14"/>
      <c r="AO183" s="13"/>
      <c r="AP183" s="13"/>
      <c r="AQ183" s="13"/>
      <c r="AR183" s="13"/>
      <c r="AS183" s="13"/>
      <c r="AT183" s="13"/>
      <c r="AU183" s="13"/>
      <c r="AV183" s="13"/>
      <c r="AW183" s="13"/>
      <c r="AX183" s="18">
        <v>0</v>
      </c>
      <c r="AY183" s="13"/>
      <c r="AZ183" s="18">
        <v>0</v>
      </c>
      <c r="BA183" s="13"/>
      <c r="BB183" s="18">
        <v>0</v>
      </c>
      <c r="BC183" s="13"/>
      <c r="BD183" s="18">
        <v>0</v>
      </c>
    </row>
    <row r="184" spans="1:56" hidden="1" outlineLevel="1" x14ac:dyDescent="0.3">
      <c r="A184" s="1"/>
      <c r="B184" s="2">
        <v>3</v>
      </c>
      <c r="C184" s="2">
        <v>3</v>
      </c>
      <c r="D184" s="1" t="s">
        <v>67</v>
      </c>
      <c r="E184" s="13"/>
      <c r="F184" s="16"/>
      <c r="G184" s="14"/>
      <c r="H184" s="15">
        <v>0</v>
      </c>
      <c r="I184" s="14"/>
      <c r="J184" s="14"/>
      <c r="K184" s="14"/>
      <c r="L184" s="14"/>
      <c r="M184" s="14"/>
      <c r="N184" s="14"/>
      <c r="O184" s="14"/>
      <c r="P184" s="14"/>
      <c r="Q184" s="14"/>
      <c r="R184" s="16"/>
      <c r="S184" s="13"/>
      <c r="T184" s="13"/>
      <c r="U184" s="13"/>
      <c r="V184" s="13"/>
      <c r="W184" s="13"/>
      <c r="X184" s="13"/>
      <c r="Y184" s="13"/>
      <c r="Z184" s="13"/>
      <c r="AA184" s="13"/>
      <c r="AB184" s="16"/>
      <c r="AC184" s="13"/>
      <c r="AD184" s="13"/>
      <c r="AE184" s="13"/>
      <c r="AF184" s="13"/>
      <c r="AG184" s="13"/>
      <c r="AH184" s="14"/>
      <c r="AI184" s="13"/>
      <c r="AJ184" s="13"/>
      <c r="AK184" s="13"/>
      <c r="AL184" s="13"/>
      <c r="AM184" s="13"/>
      <c r="AN184" s="14"/>
      <c r="AO184" s="13"/>
      <c r="AP184" s="13"/>
      <c r="AQ184" s="13"/>
      <c r="AR184" s="13"/>
      <c r="AS184" s="13"/>
      <c r="AT184" s="13"/>
      <c r="AU184" s="13"/>
      <c r="AV184" s="13"/>
      <c r="AW184" s="13"/>
      <c r="AX184" s="18">
        <v>0</v>
      </c>
      <c r="AY184" s="13"/>
      <c r="AZ184" s="18">
        <v>0</v>
      </c>
      <c r="BA184" s="13"/>
      <c r="BB184" s="18">
        <v>0</v>
      </c>
      <c r="BC184" s="13"/>
      <c r="BD184" s="18">
        <v>0</v>
      </c>
    </row>
    <row r="185" spans="1:56" hidden="1" outlineLevel="1" x14ac:dyDescent="0.3">
      <c r="A185" s="1"/>
      <c r="B185" s="2">
        <v>2</v>
      </c>
      <c r="C185" s="2">
        <v>2</v>
      </c>
      <c r="D185" s="1" t="s">
        <v>68</v>
      </c>
      <c r="E185" s="13"/>
      <c r="F185" s="16"/>
      <c r="G185" s="14"/>
      <c r="H185" s="15">
        <v>0</v>
      </c>
      <c r="I185" s="14"/>
      <c r="J185" s="14"/>
      <c r="K185" s="14"/>
      <c r="L185" s="14"/>
      <c r="M185" s="14"/>
      <c r="N185" s="14"/>
      <c r="O185" s="14"/>
      <c r="P185" s="14"/>
      <c r="Q185" s="14"/>
      <c r="R185" s="16"/>
      <c r="S185" s="13"/>
      <c r="T185" s="13"/>
      <c r="U185" s="13"/>
      <c r="V185" s="13"/>
      <c r="W185" s="13"/>
      <c r="X185" s="13"/>
      <c r="Y185" s="13"/>
      <c r="Z185" s="13"/>
      <c r="AA185" s="13"/>
      <c r="AB185" s="16"/>
      <c r="AC185" s="13"/>
      <c r="AD185" s="13"/>
      <c r="AE185" s="13"/>
      <c r="AF185" s="13"/>
      <c r="AG185" s="13"/>
      <c r="AH185" s="14"/>
      <c r="AI185" s="13"/>
      <c r="AJ185" s="13"/>
      <c r="AK185" s="13"/>
      <c r="AL185" s="13"/>
      <c r="AM185" s="13"/>
      <c r="AN185" s="14"/>
      <c r="AO185" s="13"/>
      <c r="AP185" s="13"/>
      <c r="AQ185" s="13"/>
      <c r="AR185" s="13"/>
      <c r="AS185" s="13"/>
      <c r="AT185" s="13"/>
      <c r="AU185" s="13"/>
      <c r="AV185" s="13"/>
      <c r="AW185" s="13"/>
      <c r="AX185" s="18">
        <v>0</v>
      </c>
      <c r="AY185" s="13"/>
      <c r="AZ185" s="18">
        <v>0</v>
      </c>
      <c r="BA185" s="13"/>
      <c r="BB185" s="18">
        <v>0</v>
      </c>
      <c r="BC185" s="13"/>
      <c r="BD185" s="18">
        <v>0</v>
      </c>
    </row>
    <row r="186" spans="1:56" hidden="1" outlineLevel="1" x14ac:dyDescent="0.3">
      <c r="A186" s="1"/>
      <c r="B186" s="2">
        <v>1</v>
      </c>
      <c r="C186" s="2">
        <v>1</v>
      </c>
      <c r="D186" s="1" t="s">
        <v>69</v>
      </c>
      <c r="E186" s="13"/>
      <c r="F186" s="16"/>
      <c r="G186" s="14"/>
      <c r="H186" s="15">
        <v>0</v>
      </c>
      <c r="I186" s="14"/>
      <c r="J186" s="14"/>
      <c r="K186" s="14"/>
      <c r="L186" s="14"/>
      <c r="M186" s="14"/>
      <c r="N186" s="14"/>
      <c r="O186" s="14"/>
      <c r="P186" s="14"/>
      <c r="Q186" s="14"/>
      <c r="R186" s="16"/>
      <c r="S186" s="13"/>
      <c r="T186" s="13"/>
      <c r="U186" s="13"/>
      <c r="V186" s="13"/>
      <c r="W186" s="13"/>
      <c r="X186" s="13"/>
      <c r="Y186" s="13"/>
      <c r="Z186" s="13"/>
      <c r="AA186" s="13"/>
      <c r="AB186" s="16"/>
      <c r="AC186" s="13"/>
      <c r="AD186" s="13"/>
      <c r="AE186" s="13"/>
      <c r="AF186" s="13"/>
      <c r="AG186" s="13"/>
      <c r="AH186" s="14"/>
      <c r="AI186" s="13"/>
      <c r="AJ186" s="13"/>
      <c r="AK186" s="13"/>
      <c r="AL186" s="13"/>
      <c r="AM186" s="13"/>
      <c r="AN186" s="14"/>
      <c r="AO186" s="13"/>
      <c r="AP186" s="13"/>
      <c r="AQ186" s="13"/>
      <c r="AR186" s="13"/>
      <c r="AS186" s="13"/>
      <c r="AT186" s="13"/>
      <c r="AU186" s="13"/>
      <c r="AV186" s="13"/>
      <c r="AW186" s="13"/>
      <c r="AX186" s="18">
        <v>1</v>
      </c>
      <c r="AY186" s="13"/>
      <c r="AZ186" s="18">
        <v>0</v>
      </c>
      <c r="BA186" s="13"/>
      <c r="BB186" s="18">
        <v>0</v>
      </c>
      <c r="BC186" s="13"/>
      <c r="BD186" s="18">
        <v>0</v>
      </c>
    </row>
    <row r="187" spans="1:56" hidden="1" outlineLevel="1" x14ac:dyDescent="0.3">
      <c r="A187" s="1"/>
      <c r="B187" s="2">
        <v>0</v>
      </c>
      <c r="C187" s="2">
        <v>0</v>
      </c>
      <c r="D187" s="1" t="s">
        <v>70</v>
      </c>
      <c r="E187" s="13"/>
      <c r="F187" s="16"/>
      <c r="G187" s="14"/>
      <c r="H187" s="15">
        <v>1</v>
      </c>
      <c r="I187" s="14"/>
      <c r="J187" s="14"/>
      <c r="K187" s="14"/>
      <c r="L187" s="14"/>
      <c r="M187" s="14"/>
      <c r="N187" s="14"/>
      <c r="O187" s="14"/>
      <c r="P187" s="14"/>
      <c r="Q187" s="14"/>
      <c r="R187" s="16"/>
      <c r="S187" s="13"/>
      <c r="T187" s="13"/>
      <c r="U187" s="13"/>
      <c r="V187" s="13"/>
      <c r="W187" s="13"/>
      <c r="X187" s="13"/>
      <c r="Y187" s="13"/>
      <c r="Z187" s="13"/>
      <c r="AA187" s="13"/>
      <c r="AB187" s="16"/>
      <c r="AC187" s="13"/>
      <c r="AD187" s="13"/>
      <c r="AE187" s="13"/>
      <c r="AF187" s="13"/>
      <c r="AG187" s="13"/>
      <c r="AH187" s="14"/>
      <c r="AI187" s="13"/>
      <c r="AJ187" s="13"/>
      <c r="AK187" s="13"/>
      <c r="AL187" s="13"/>
      <c r="AM187" s="13"/>
      <c r="AN187" s="14"/>
      <c r="AO187" s="13"/>
      <c r="AP187" s="13"/>
      <c r="AQ187" s="13"/>
      <c r="AR187" s="13"/>
      <c r="AS187" s="13"/>
      <c r="AT187" s="13"/>
      <c r="AU187" s="13"/>
      <c r="AV187" s="13"/>
      <c r="AW187" s="13"/>
      <c r="AX187" s="18">
        <v>1</v>
      </c>
      <c r="AY187" s="13"/>
      <c r="AZ187" s="18">
        <v>1</v>
      </c>
      <c r="BA187" s="13"/>
      <c r="BB187" s="18">
        <v>1</v>
      </c>
      <c r="BC187" s="13"/>
      <c r="BD187" s="18">
        <v>0</v>
      </c>
    </row>
    <row r="188" spans="1:56" collapsed="1" x14ac:dyDescent="0.3">
      <c r="A188" s="1" t="s">
        <v>97</v>
      </c>
      <c r="B188" s="2"/>
      <c r="C188" s="2"/>
      <c r="D188" s="1"/>
      <c r="E188" s="13"/>
      <c r="F188" s="20" t="str">
        <f>BitsTo32Bit(F189:F198)</f>
        <v>20</v>
      </c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7"/>
      <c r="AM188" s="13"/>
      <c r="AN188" s="13"/>
      <c r="AO188" s="13"/>
      <c r="AP188" s="13"/>
      <c r="AQ188" s="13"/>
      <c r="AR188" s="13"/>
      <c r="AS188" s="13"/>
      <c r="AT188" s="13"/>
      <c r="AU188" s="13"/>
      <c r="AV188" s="20" t="str">
        <f>BitsTo32Bit(AV189:AV198)</f>
        <v>20</v>
      </c>
      <c r="AW188" s="13"/>
      <c r="AX188" s="13"/>
      <c r="AY188" s="13"/>
      <c r="AZ188" s="13"/>
      <c r="BA188" s="13"/>
      <c r="BB188" s="13"/>
      <c r="BC188" s="13"/>
      <c r="BD188" s="20" t="str">
        <f>BitsTo32Bit(BD189:BD198)</f>
        <v>20</v>
      </c>
    </row>
    <row r="189" spans="1:56" hidden="1" outlineLevel="1" x14ac:dyDescent="0.3">
      <c r="A189" s="1"/>
      <c r="B189" s="2">
        <v>31</v>
      </c>
      <c r="C189" s="2">
        <v>11</v>
      </c>
      <c r="D189" s="1" t="s">
        <v>1</v>
      </c>
      <c r="E189" s="13"/>
      <c r="F189" s="15">
        <v>0</v>
      </c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8">
        <v>0</v>
      </c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7"/>
      <c r="AM189" s="13"/>
      <c r="AN189" s="13"/>
      <c r="AO189" s="13"/>
      <c r="AP189" s="13"/>
      <c r="AQ189" s="13"/>
      <c r="AR189" s="13"/>
      <c r="AS189" s="13"/>
      <c r="AT189" s="13"/>
      <c r="AU189" s="13"/>
      <c r="AV189" s="48">
        <v>0</v>
      </c>
      <c r="AW189" s="13"/>
      <c r="AX189" s="13"/>
      <c r="AY189" s="13"/>
      <c r="AZ189" s="13"/>
      <c r="BA189" s="13"/>
      <c r="BB189" s="13"/>
      <c r="BC189" s="13"/>
      <c r="BD189" s="15">
        <v>0</v>
      </c>
    </row>
    <row r="190" spans="1:56" hidden="1" outlineLevel="1" x14ac:dyDescent="0.3">
      <c r="A190" s="1"/>
      <c r="B190" s="2">
        <v>10</v>
      </c>
      <c r="C190" s="2">
        <v>10</v>
      </c>
      <c r="D190" s="1" t="s">
        <v>98</v>
      </c>
      <c r="E190" s="13"/>
      <c r="F190" s="15">
        <v>0</v>
      </c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8">
        <v>0</v>
      </c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7"/>
      <c r="AM190" s="13"/>
      <c r="AN190" s="13"/>
      <c r="AO190" s="13"/>
      <c r="AP190" s="13"/>
      <c r="AQ190" s="13"/>
      <c r="AR190" s="13"/>
      <c r="AS190" s="13"/>
      <c r="AT190" s="13"/>
      <c r="AU190" s="13"/>
      <c r="AV190" s="48">
        <v>0</v>
      </c>
      <c r="AW190" s="13"/>
      <c r="AX190" s="13"/>
      <c r="AY190" s="13"/>
      <c r="AZ190" s="13"/>
      <c r="BA190" s="13"/>
      <c r="BB190" s="13"/>
      <c r="BC190" s="13"/>
      <c r="BD190" s="15">
        <v>0</v>
      </c>
    </row>
    <row r="191" spans="1:56" hidden="1" outlineLevel="1" x14ac:dyDescent="0.3">
      <c r="A191" s="1"/>
      <c r="B191" s="2">
        <v>9</v>
      </c>
      <c r="C191" s="2">
        <v>9</v>
      </c>
      <c r="D191" s="1" t="s">
        <v>99</v>
      </c>
      <c r="E191" s="13"/>
      <c r="F191" s="15">
        <v>0</v>
      </c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8">
        <v>0</v>
      </c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7"/>
      <c r="AM191" s="13"/>
      <c r="AN191" s="13"/>
      <c r="AO191" s="13"/>
      <c r="AP191" s="13"/>
      <c r="AQ191" s="13"/>
      <c r="AR191" s="13"/>
      <c r="AS191" s="13"/>
      <c r="AT191" s="13"/>
      <c r="AU191" s="13"/>
      <c r="AV191" s="48">
        <v>0</v>
      </c>
      <c r="AW191" s="13"/>
      <c r="AX191" s="13"/>
      <c r="AY191" s="13"/>
      <c r="AZ191" s="13"/>
      <c r="BA191" s="13"/>
      <c r="BB191" s="13"/>
      <c r="BC191" s="13"/>
      <c r="BD191" s="15">
        <v>0</v>
      </c>
    </row>
    <row r="192" spans="1:56" hidden="1" outlineLevel="1" x14ac:dyDescent="0.3">
      <c r="A192" s="1"/>
      <c r="B192" s="2">
        <v>8</v>
      </c>
      <c r="C192" s="2">
        <v>8</v>
      </c>
      <c r="D192" s="1" t="s">
        <v>100</v>
      </c>
      <c r="E192" s="13"/>
      <c r="F192" s="15">
        <v>0</v>
      </c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8">
        <v>0</v>
      </c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7"/>
      <c r="AM192" s="13"/>
      <c r="AN192" s="13"/>
      <c r="AO192" s="13"/>
      <c r="AP192" s="13"/>
      <c r="AQ192" s="13"/>
      <c r="AR192" s="13"/>
      <c r="AS192" s="13"/>
      <c r="AT192" s="13"/>
      <c r="AU192" s="13"/>
      <c r="AV192" s="48">
        <v>0</v>
      </c>
      <c r="AW192" s="13"/>
      <c r="AX192" s="13"/>
      <c r="AY192" s="13"/>
      <c r="AZ192" s="13"/>
      <c r="BA192" s="13"/>
      <c r="BB192" s="13"/>
      <c r="BC192" s="13"/>
      <c r="BD192" s="15">
        <v>0</v>
      </c>
    </row>
    <row r="193" spans="1:56" hidden="1" outlineLevel="1" x14ac:dyDescent="0.3">
      <c r="A193" s="1"/>
      <c r="B193" s="2">
        <v>7</v>
      </c>
      <c r="C193" s="2">
        <v>7</v>
      </c>
      <c r="D193" s="1" t="s">
        <v>101</v>
      </c>
      <c r="E193" s="13"/>
      <c r="F193" s="18">
        <v>0</v>
      </c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8">
        <v>1</v>
      </c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7"/>
      <c r="AM193" s="13"/>
      <c r="AN193" s="13"/>
      <c r="AO193" s="13"/>
      <c r="AP193" s="13"/>
      <c r="AQ193" s="13"/>
      <c r="AR193" s="13"/>
      <c r="AS193" s="13"/>
      <c r="AT193" s="13"/>
      <c r="AU193" s="13"/>
      <c r="AV193" s="18">
        <v>0</v>
      </c>
      <c r="AW193" s="13"/>
      <c r="AX193" s="13"/>
      <c r="AY193" s="13"/>
      <c r="AZ193" s="13"/>
      <c r="BA193" s="13"/>
      <c r="BB193" s="13"/>
      <c r="BC193" s="13"/>
      <c r="BD193" s="18">
        <v>0</v>
      </c>
    </row>
    <row r="194" spans="1:56" hidden="1" outlineLevel="1" x14ac:dyDescent="0.3">
      <c r="A194" s="1"/>
      <c r="B194" s="2">
        <v>6</v>
      </c>
      <c r="C194" s="2">
        <v>6</v>
      </c>
      <c r="D194" s="1" t="s">
        <v>102</v>
      </c>
      <c r="E194" s="13"/>
      <c r="F194" s="15">
        <v>0</v>
      </c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8">
        <v>0</v>
      </c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7"/>
      <c r="AM194" s="13"/>
      <c r="AN194" s="13"/>
      <c r="AO194" s="13"/>
      <c r="AP194" s="13"/>
      <c r="AQ194" s="13"/>
      <c r="AR194" s="13"/>
      <c r="AS194" s="13"/>
      <c r="AT194" s="13"/>
      <c r="AU194" s="13"/>
      <c r="AV194" s="48">
        <v>0</v>
      </c>
      <c r="AW194" s="13"/>
      <c r="AX194" s="13"/>
      <c r="AY194" s="13"/>
      <c r="AZ194" s="13"/>
      <c r="BA194" s="13"/>
      <c r="BB194" s="13"/>
      <c r="BC194" s="13"/>
      <c r="BD194" s="15">
        <v>0</v>
      </c>
    </row>
    <row r="195" spans="1:56" hidden="1" outlineLevel="1" x14ac:dyDescent="0.3">
      <c r="A195" s="1"/>
      <c r="B195" s="2">
        <v>5</v>
      </c>
      <c r="C195" s="2">
        <v>5</v>
      </c>
      <c r="D195" s="1" t="s">
        <v>103</v>
      </c>
      <c r="E195" s="13"/>
      <c r="F195" s="15">
        <v>1</v>
      </c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8">
        <v>1</v>
      </c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7"/>
      <c r="AM195" s="13"/>
      <c r="AN195" s="13"/>
      <c r="AO195" s="13"/>
      <c r="AP195" s="13"/>
      <c r="AQ195" s="13"/>
      <c r="AR195" s="13"/>
      <c r="AS195" s="13"/>
      <c r="AT195" s="13"/>
      <c r="AU195" s="13"/>
      <c r="AV195" s="48">
        <v>1</v>
      </c>
      <c r="AW195" s="13"/>
      <c r="AX195" s="13"/>
      <c r="AY195" s="13"/>
      <c r="AZ195" s="13"/>
      <c r="BA195" s="13"/>
      <c r="BB195" s="13"/>
      <c r="BC195" s="13"/>
      <c r="BD195" s="15">
        <v>1</v>
      </c>
    </row>
    <row r="196" spans="1:56" hidden="1" outlineLevel="1" x14ac:dyDescent="0.3">
      <c r="A196" s="1"/>
      <c r="B196" s="2">
        <v>4</v>
      </c>
      <c r="C196" s="2">
        <v>4</v>
      </c>
      <c r="D196" s="1" t="s">
        <v>1</v>
      </c>
      <c r="E196" s="13"/>
      <c r="F196" s="15">
        <v>0</v>
      </c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8">
        <v>0</v>
      </c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7"/>
      <c r="AM196" s="13"/>
      <c r="AN196" s="13"/>
      <c r="AO196" s="13"/>
      <c r="AP196" s="13"/>
      <c r="AQ196" s="13"/>
      <c r="AR196" s="13"/>
      <c r="AS196" s="13"/>
      <c r="AT196" s="13"/>
      <c r="AU196" s="13"/>
      <c r="AV196" s="48">
        <v>0</v>
      </c>
      <c r="AW196" s="13"/>
      <c r="AX196" s="13"/>
      <c r="AY196" s="13"/>
      <c r="AZ196" s="13"/>
      <c r="BA196" s="13"/>
      <c r="BB196" s="13"/>
      <c r="BC196" s="13"/>
      <c r="BD196" s="15">
        <v>0</v>
      </c>
    </row>
    <row r="197" spans="1:56" hidden="1" outlineLevel="1" x14ac:dyDescent="0.3">
      <c r="A197" s="1"/>
      <c r="B197" s="2">
        <v>3</v>
      </c>
      <c r="C197" s="2">
        <v>2</v>
      </c>
      <c r="D197" s="1" t="s">
        <v>104</v>
      </c>
      <c r="E197" s="13"/>
      <c r="F197" s="15">
        <v>0</v>
      </c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8">
        <v>0</v>
      </c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7"/>
      <c r="AM197" s="13"/>
      <c r="AN197" s="13"/>
      <c r="AO197" s="13"/>
      <c r="AP197" s="13"/>
      <c r="AQ197" s="13"/>
      <c r="AR197" s="13"/>
      <c r="AS197" s="13"/>
      <c r="AT197" s="13"/>
      <c r="AU197" s="13"/>
      <c r="AV197" s="48">
        <v>0</v>
      </c>
      <c r="AW197" s="13"/>
      <c r="AX197" s="13"/>
      <c r="AY197" s="13"/>
      <c r="AZ197" s="13"/>
      <c r="BA197" s="13"/>
      <c r="BB197" s="13"/>
      <c r="BC197" s="13"/>
      <c r="BD197" s="15">
        <v>0</v>
      </c>
    </row>
    <row r="198" spans="1:56" hidden="1" outlineLevel="1" x14ac:dyDescent="0.3">
      <c r="A198" s="1"/>
      <c r="B198" s="2">
        <v>1</v>
      </c>
      <c r="C198" s="2">
        <v>0</v>
      </c>
      <c r="D198" s="1" t="s">
        <v>105</v>
      </c>
      <c r="E198" s="13"/>
      <c r="F198" s="15">
        <v>0</v>
      </c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8">
        <v>0</v>
      </c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7"/>
      <c r="AM198" s="13"/>
      <c r="AN198" s="13"/>
      <c r="AO198" s="13"/>
      <c r="AP198" s="13"/>
      <c r="AQ198" s="13"/>
      <c r="AR198" s="13"/>
      <c r="AS198" s="13"/>
      <c r="AT198" s="13"/>
      <c r="AU198" s="13"/>
      <c r="AV198" s="48">
        <v>0</v>
      </c>
      <c r="AW198" s="13"/>
      <c r="AX198" s="13"/>
      <c r="AY198" s="13"/>
      <c r="AZ198" s="13"/>
      <c r="BA198" s="13"/>
      <c r="BB198" s="13"/>
      <c r="BC198" s="13"/>
      <c r="BD198" s="15">
        <v>0</v>
      </c>
    </row>
    <row r="199" spans="1:56" collapsed="1" x14ac:dyDescent="0.3">
      <c r="A199" s="1" t="s">
        <v>106</v>
      </c>
      <c r="B199" s="2"/>
      <c r="C199" s="2"/>
      <c r="D199" s="1"/>
      <c r="E199" s="13"/>
      <c r="F199" s="14"/>
      <c r="G199" s="14"/>
      <c r="H199" s="14"/>
      <c r="I199" s="14"/>
      <c r="J199" s="20" t="str">
        <f>BitsTo32Bit(J200:J212)</f>
        <v>00FFFF50F4</v>
      </c>
      <c r="K199" s="14"/>
      <c r="L199" s="20" t="str">
        <f>BitsTo32Bit(L200:L212)</f>
        <v>00FFFF50F4</v>
      </c>
      <c r="M199" s="14"/>
      <c r="N199" s="20" t="str">
        <f>BitsTo32Bit(N200:N212)</f>
        <v>00FFFF50F4</v>
      </c>
      <c r="O199" s="14"/>
      <c r="P199" s="20" t="str">
        <f>BitsTo32Bit(P200:P212)</f>
        <v>00FFFF50F4</v>
      </c>
      <c r="Q199" s="14"/>
      <c r="R199" s="13"/>
      <c r="S199" s="13"/>
      <c r="T199" s="38" t="str">
        <f>BitsTo32Bit(T200:T212)</f>
        <v>00FFFF507C</v>
      </c>
      <c r="U199" s="13"/>
      <c r="V199" s="38" t="str">
        <f>BitsTo32Bit(V200:V212)</f>
        <v>00FFFF5084</v>
      </c>
      <c r="W199" s="13"/>
      <c r="X199" s="38" t="str">
        <f>BitsTo32Bit(X200:X212)</f>
        <v>00FFFF5084</v>
      </c>
      <c r="Y199" s="13"/>
      <c r="Z199" s="38" t="str">
        <f>BitsTo32Bit(Z200:Z212)</f>
        <v>00FFFF5094</v>
      </c>
      <c r="AA199" s="13"/>
      <c r="AB199" s="13"/>
      <c r="AC199" s="13"/>
      <c r="AD199" s="38" t="str">
        <f>BitsTo32Bit(AD200:AD212)</f>
        <v>00FFFF5084</v>
      </c>
      <c r="AE199" s="13"/>
      <c r="AF199" s="38" t="str">
        <f>BitsTo32Bit(AF200:AF212)</f>
        <v>00FFFF5084</v>
      </c>
      <c r="AG199" s="13"/>
      <c r="AH199" s="13"/>
      <c r="AI199" s="13"/>
      <c r="AJ199" s="38" t="str">
        <f>BitsTo32Bit(AJ200:AJ212)</f>
        <v>00FFFF50F4</v>
      </c>
      <c r="AK199" s="13"/>
      <c r="AL199" s="45" t="str">
        <f>BitsTo32Bit(AL200:AL212)</f>
        <v>00FFFF50A0</v>
      </c>
      <c r="AM199" s="13"/>
      <c r="AN199" s="21"/>
      <c r="AO199" s="13"/>
      <c r="AP199" s="45" t="str">
        <f>BitsTo32Bit(AP200:AP212)</f>
        <v>00FFFFF0A4</v>
      </c>
      <c r="AQ199" s="45" t="str">
        <f>BitsTo32Bit(AQ200:AQ212)</f>
        <v>00FFFFF09C</v>
      </c>
      <c r="AR199" s="13"/>
      <c r="AS199" s="13"/>
      <c r="AT199" s="13"/>
      <c r="AU199" s="13"/>
      <c r="AV199" s="13"/>
      <c r="AW199" s="13"/>
      <c r="AX199" s="38" t="str">
        <f>BitsTo32Bit(AX200:AX212)</f>
        <v>00FFFF50F4</v>
      </c>
      <c r="AY199" s="13"/>
      <c r="AZ199" s="38" t="str">
        <f>BitsTo32Bit(AZ200:AZ212)</f>
        <v>00FFFF507C</v>
      </c>
      <c r="BA199" s="13"/>
      <c r="BB199" s="38" t="str">
        <f>BitsTo32Bit(BB200:BB212)</f>
        <v>00FFFF507C</v>
      </c>
      <c r="BC199" s="13"/>
      <c r="BD199" s="38" t="str">
        <f>BitsTo32Bit(BD200:BD212)</f>
        <v>00FFFF0003</v>
      </c>
    </row>
    <row r="200" spans="1:56" hidden="1" outlineLevel="1" x14ac:dyDescent="0.3">
      <c r="A200" s="1"/>
      <c r="B200" s="2">
        <v>31</v>
      </c>
      <c r="C200" s="2">
        <v>28</v>
      </c>
      <c r="D200" s="1" t="s">
        <v>107</v>
      </c>
      <c r="E200" s="13"/>
      <c r="F200" s="14"/>
      <c r="G200" s="14"/>
      <c r="H200" s="14"/>
      <c r="I200" s="14"/>
      <c r="J200" s="18" t="s">
        <v>117</v>
      </c>
      <c r="K200" s="14"/>
      <c r="L200" s="18" t="s">
        <v>117</v>
      </c>
      <c r="M200" s="14"/>
      <c r="N200" s="18" t="s">
        <v>117</v>
      </c>
      <c r="O200" s="14"/>
      <c r="P200" s="18" t="s">
        <v>117</v>
      </c>
      <c r="Q200" s="14"/>
      <c r="R200" s="13"/>
      <c r="S200" s="13"/>
      <c r="T200" s="39" t="s">
        <v>117</v>
      </c>
      <c r="U200" s="13"/>
      <c r="V200" s="39" t="s">
        <v>117</v>
      </c>
      <c r="W200" s="13"/>
      <c r="X200" s="39" t="s">
        <v>117</v>
      </c>
      <c r="Y200" s="13"/>
      <c r="Z200" s="39" t="s">
        <v>117</v>
      </c>
      <c r="AA200" s="13"/>
      <c r="AB200" s="13"/>
      <c r="AC200" s="13"/>
      <c r="AD200" s="39" t="s">
        <v>117</v>
      </c>
      <c r="AE200" s="13"/>
      <c r="AF200" s="39" t="s">
        <v>117</v>
      </c>
      <c r="AG200" s="13"/>
      <c r="AH200" s="13"/>
      <c r="AI200" s="13"/>
      <c r="AJ200" s="39" t="s">
        <v>117</v>
      </c>
      <c r="AK200" s="13"/>
      <c r="AL200" s="29" t="s">
        <v>117</v>
      </c>
      <c r="AM200" s="13"/>
      <c r="AN200" s="21"/>
      <c r="AO200" s="13"/>
      <c r="AP200" s="29" t="s">
        <v>117</v>
      </c>
      <c r="AQ200" s="29" t="s">
        <v>117</v>
      </c>
      <c r="AR200" s="13"/>
      <c r="AS200" s="13"/>
      <c r="AT200" s="13"/>
      <c r="AU200" s="13"/>
      <c r="AV200" s="13"/>
      <c r="AW200" s="13"/>
      <c r="AX200" s="39" t="s">
        <v>117</v>
      </c>
      <c r="AY200" s="13"/>
      <c r="AZ200" s="39" t="s">
        <v>117</v>
      </c>
      <c r="BA200" s="13"/>
      <c r="BB200" s="39" t="s">
        <v>117</v>
      </c>
      <c r="BC200" s="13"/>
      <c r="BD200" s="39" t="s">
        <v>117</v>
      </c>
    </row>
    <row r="201" spans="1:56" hidden="1" outlineLevel="1" x14ac:dyDescent="0.3">
      <c r="A201" s="1"/>
      <c r="B201" s="2">
        <v>27</v>
      </c>
      <c r="C201" s="2">
        <v>24</v>
      </c>
      <c r="D201" s="1" t="s">
        <v>108</v>
      </c>
      <c r="E201" s="13"/>
      <c r="F201" s="16"/>
      <c r="G201" s="14"/>
      <c r="H201" s="14"/>
      <c r="I201" s="14"/>
      <c r="J201" s="15" t="s">
        <v>117</v>
      </c>
      <c r="K201" s="14"/>
      <c r="L201" s="15" t="s">
        <v>117</v>
      </c>
      <c r="M201" s="14"/>
      <c r="N201" s="15" t="s">
        <v>117</v>
      </c>
      <c r="O201" s="14"/>
      <c r="P201" s="15" t="s">
        <v>117</v>
      </c>
      <c r="Q201" s="14"/>
      <c r="R201" s="13"/>
      <c r="S201" s="13"/>
      <c r="T201" s="19" t="s">
        <v>117</v>
      </c>
      <c r="U201" s="13"/>
      <c r="V201" s="19" t="s">
        <v>117</v>
      </c>
      <c r="W201" s="13"/>
      <c r="X201" s="19" t="s">
        <v>117</v>
      </c>
      <c r="Y201" s="13"/>
      <c r="Z201" s="19" t="s">
        <v>117</v>
      </c>
      <c r="AA201" s="13"/>
      <c r="AB201" s="13"/>
      <c r="AC201" s="13"/>
      <c r="AD201" s="19" t="s">
        <v>117</v>
      </c>
      <c r="AE201" s="13"/>
      <c r="AF201" s="19" t="s">
        <v>117</v>
      </c>
      <c r="AG201" s="13"/>
      <c r="AH201" s="40"/>
      <c r="AI201" s="13"/>
      <c r="AJ201" s="19" t="s">
        <v>117</v>
      </c>
      <c r="AK201" s="13"/>
      <c r="AL201" s="29" t="s">
        <v>117</v>
      </c>
      <c r="AM201" s="13"/>
      <c r="AN201" s="21"/>
      <c r="AO201" s="13"/>
      <c r="AP201" s="29" t="s">
        <v>117</v>
      </c>
      <c r="AQ201" s="29" t="s">
        <v>117</v>
      </c>
      <c r="AR201" s="13"/>
      <c r="AS201" s="13"/>
      <c r="AT201" s="13"/>
      <c r="AU201" s="13"/>
      <c r="AV201" s="40"/>
      <c r="AW201" s="13"/>
      <c r="AX201" s="19" t="s">
        <v>117</v>
      </c>
      <c r="AY201" s="13"/>
      <c r="AZ201" s="19" t="s">
        <v>117</v>
      </c>
      <c r="BA201" s="13"/>
      <c r="BB201" s="19" t="s">
        <v>117</v>
      </c>
      <c r="BC201" s="13"/>
      <c r="BD201" s="19" t="s">
        <v>117</v>
      </c>
    </row>
    <row r="202" spans="1:56" hidden="1" outlineLevel="1" x14ac:dyDescent="0.3">
      <c r="A202" s="1"/>
      <c r="B202" s="2">
        <v>23</v>
      </c>
      <c r="C202" s="2">
        <v>20</v>
      </c>
      <c r="D202" s="1" t="s">
        <v>109</v>
      </c>
      <c r="E202" s="13"/>
      <c r="F202" s="14"/>
      <c r="G202" s="14"/>
      <c r="H202" s="14"/>
      <c r="I202" s="14"/>
      <c r="J202" s="18" t="s">
        <v>117</v>
      </c>
      <c r="K202" s="14"/>
      <c r="L202" s="18" t="s">
        <v>117</v>
      </c>
      <c r="M202" s="14"/>
      <c r="N202" s="18" t="s">
        <v>117</v>
      </c>
      <c r="O202" s="14"/>
      <c r="P202" s="18" t="s">
        <v>117</v>
      </c>
      <c r="Q202" s="14"/>
      <c r="R202" s="13"/>
      <c r="S202" s="13"/>
      <c r="T202" s="39" t="s">
        <v>117</v>
      </c>
      <c r="U202" s="13"/>
      <c r="V202" s="39" t="s">
        <v>117</v>
      </c>
      <c r="W202" s="13"/>
      <c r="X202" s="39" t="s">
        <v>117</v>
      </c>
      <c r="Y202" s="13"/>
      <c r="Z202" s="39" t="s">
        <v>117</v>
      </c>
      <c r="AA202" s="13"/>
      <c r="AB202" s="13"/>
      <c r="AC202" s="13"/>
      <c r="AD202" s="39" t="s">
        <v>117</v>
      </c>
      <c r="AE202" s="13"/>
      <c r="AF202" s="39" t="s">
        <v>117</v>
      </c>
      <c r="AG202" s="13"/>
      <c r="AH202" s="13"/>
      <c r="AI202" s="13"/>
      <c r="AJ202" s="39" t="s">
        <v>117</v>
      </c>
      <c r="AK202" s="13"/>
      <c r="AL202" s="29" t="s">
        <v>117</v>
      </c>
      <c r="AM202" s="13"/>
      <c r="AN202" s="21"/>
      <c r="AO202" s="13"/>
      <c r="AP202" s="29" t="s">
        <v>117</v>
      </c>
      <c r="AQ202" s="29" t="s">
        <v>117</v>
      </c>
      <c r="AR202" s="13"/>
      <c r="AS202" s="13"/>
      <c r="AT202" s="13"/>
      <c r="AU202" s="13"/>
      <c r="AV202" s="13"/>
      <c r="AW202" s="13"/>
      <c r="AX202" s="39" t="s">
        <v>117</v>
      </c>
      <c r="AY202" s="13"/>
      <c r="AZ202" s="39" t="s">
        <v>117</v>
      </c>
      <c r="BA202" s="13"/>
      <c r="BB202" s="39" t="s">
        <v>117</v>
      </c>
      <c r="BC202" s="13"/>
      <c r="BD202" s="39" t="s">
        <v>117</v>
      </c>
    </row>
    <row r="203" spans="1:56" hidden="1" outlineLevel="1" x14ac:dyDescent="0.3">
      <c r="A203" s="1"/>
      <c r="B203" s="2">
        <v>19</v>
      </c>
      <c r="C203" s="2">
        <v>16</v>
      </c>
      <c r="D203" s="1" t="s">
        <v>110</v>
      </c>
      <c r="E203" s="13"/>
      <c r="F203" s="16"/>
      <c r="G203" s="14"/>
      <c r="H203" s="14"/>
      <c r="I203" s="14"/>
      <c r="J203" s="15" t="s">
        <v>117</v>
      </c>
      <c r="K203" s="14"/>
      <c r="L203" s="15" t="s">
        <v>117</v>
      </c>
      <c r="M203" s="14"/>
      <c r="N203" s="15" t="s">
        <v>117</v>
      </c>
      <c r="O203" s="14"/>
      <c r="P203" s="15" t="s">
        <v>117</v>
      </c>
      <c r="Q203" s="14"/>
      <c r="R203" s="13"/>
      <c r="S203" s="13"/>
      <c r="T203" s="19" t="s">
        <v>117</v>
      </c>
      <c r="U203" s="13"/>
      <c r="V203" s="19" t="s">
        <v>117</v>
      </c>
      <c r="W203" s="13"/>
      <c r="X203" s="19" t="s">
        <v>117</v>
      </c>
      <c r="Y203" s="13"/>
      <c r="Z203" s="19" t="s">
        <v>117</v>
      </c>
      <c r="AA203" s="13"/>
      <c r="AB203" s="13"/>
      <c r="AC203" s="13"/>
      <c r="AD203" s="19" t="s">
        <v>117</v>
      </c>
      <c r="AE203" s="13"/>
      <c r="AF203" s="19" t="s">
        <v>117</v>
      </c>
      <c r="AG203" s="13"/>
      <c r="AH203" s="40"/>
      <c r="AI203" s="13"/>
      <c r="AJ203" s="19" t="s">
        <v>117</v>
      </c>
      <c r="AK203" s="13"/>
      <c r="AL203" s="29" t="s">
        <v>117</v>
      </c>
      <c r="AM203" s="13"/>
      <c r="AN203" s="21"/>
      <c r="AO203" s="13"/>
      <c r="AP203" s="29" t="s">
        <v>117</v>
      </c>
      <c r="AQ203" s="29" t="s">
        <v>117</v>
      </c>
      <c r="AR203" s="13"/>
      <c r="AS203" s="13"/>
      <c r="AT203" s="13"/>
      <c r="AU203" s="13"/>
      <c r="AV203" s="40"/>
      <c r="AW203" s="13"/>
      <c r="AX203" s="19" t="s">
        <v>117</v>
      </c>
      <c r="AY203" s="13"/>
      <c r="AZ203" s="19" t="s">
        <v>117</v>
      </c>
      <c r="BA203" s="13"/>
      <c r="BB203" s="19" t="s">
        <v>117</v>
      </c>
      <c r="BC203" s="13"/>
      <c r="BD203" s="19" t="s">
        <v>117</v>
      </c>
    </row>
    <row r="204" spans="1:56" s="26" customFormat="1" hidden="1" outlineLevel="1" x14ac:dyDescent="0.3">
      <c r="A204" s="1"/>
      <c r="B204" s="2">
        <v>15</v>
      </c>
      <c r="C204" s="2">
        <v>15</v>
      </c>
      <c r="D204" s="1" t="s">
        <v>1</v>
      </c>
      <c r="E204" s="21"/>
      <c r="F204" s="30"/>
      <c r="G204" s="22"/>
      <c r="H204" s="22"/>
      <c r="I204" s="22"/>
      <c r="J204" s="28">
        <v>0</v>
      </c>
      <c r="K204" s="22"/>
      <c r="L204" s="28">
        <v>0</v>
      </c>
      <c r="M204" s="22"/>
      <c r="N204" s="28">
        <v>0</v>
      </c>
      <c r="O204" s="22"/>
      <c r="P204" s="28">
        <v>0</v>
      </c>
      <c r="Q204" s="22"/>
      <c r="R204" s="21"/>
      <c r="S204" s="21"/>
      <c r="T204" s="24">
        <v>0</v>
      </c>
      <c r="U204" s="21"/>
      <c r="V204" s="24">
        <v>0</v>
      </c>
      <c r="W204" s="21"/>
      <c r="X204" s="24">
        <v>0</v>
      </c>
      <c r="Y204" s="21"/>
      <c r="Z204" s="24">
        <v>0</v>
      </c>
      <c r="AA204" s="21"/>
      <c r="AB204" s="21"/>
      <c r="AC204" s="21"/>
      <c r="AD204" s="29">
        <v>0</v>
      </c>
      <c r="AE204" s="21"/>
      <c r="AF204" s="29">
        <v>0</v>
      </c>
      <c r="AG204" s="21"/>
      <c r="AH204" s="21"/>
      <c r="AI204" s="21"/>
      <c r="AJ204" s="29">
        <v>0</v>
      </c>
      <c r="AK204" s="21"/>
      <c r="AL204" s="29">
        <v>0</v>
      </c>
      <c r="AM204" s="21"/>
      <c r="AN204" s="21"/>
      <c r="AO204" s="21"/>
      <c r="AP204" s="29">
        <v>1</v>
      </c>
      <c r="AQ204" s="29">
        <v>1</v>
      </c>
      <c r="AR204" s="21"/>
      <c r="AS204" s="21"/>
      <c r="AT204" s="21"/>
      <c r="AU204" s="21"/>
      <c r="AV204" s="21"/>
      <c r="AW204" s="21"/>
      <c r="AX204" s="29">
        <v>0</v>
      </c>
      <c r="AY204" s="21"/>
      <c r="AZ204" s="29">
        <v>0</v>
      </c>
      <c r="BA204" s="21"/>
      <c r="BB204" s="29">
        <v>0</v>
      </c>
      <c r="BC204" s="21"/>
      <c r="BD204" s="29">
        <v>0</v>
      </c>
    </row>
    <row r="205" spans="1:56" s="26" customFormat="1" hidden="1" outlineLevel="1" x14ac:dyDescent="0.3">
      <c r="A205" s="1"/>
      <c r="B205" s="2">
        <v>14</v>
      </c>
      <c r="C205" s="2">
        <v>14</v>
      </c>
      <c r="D205" s="1" t="s">
        <v>312</v>
      </c>
      <c r="E205" s="21"/>
      <c r="F205" s="30"/>
      <c r="G205" s="22"/>
      <c r="H205" s="22"/>
      <c r="I205" s="22"/>
      <c r="J205" s="28">
        <v>1</v>
      </c>
      <c r="K205" s="22"/>
      <c r="L205" s="28">
        <v>1</v>
      </c>
      <c r="M205" s="22"/>
      <c r="N205" s="28">
        <v>1</v>
      </c>
      <c r="O205" s="22"/>
      <c r="P205" s="28">
        <v>1</v>
      </c>
      <c r="Q205" s="22"/>
      <c r="R205" s="21"/>
      <c r="S205" s="21"/>
      <c r="T205" s="24">
        <v>1</v>
      </c>
      <c r="U205" s="21"/>
      <c r="V205" s="24">
        <v>1</v>
      </c>
      <c r="W205" s="21"/>
      <c r="X205" s="24">
        <v>1</v>
      </c>
      <c r="Y205" s="21"/>
      <c r="Z205" s="24">
        <v>1</v>
      </c>
      <c r="AA205" s="21"/>
      <c r="AB205" s="21"/>
      <c r="AC205" s="21"/>
      <c r="AD205" s="29">
        <v>1</v>
      </c>
      <c r="AE205" s="21"/>
      <c r="AF205" s="29">
        <v>1</v>
      </c>
      <c r="AG205" s="21"/>
      <c r="AH205" s="21"/>
      <c r="AI205" s="21"/>
      <c r="AJ205" s="29">
        <v>1</v>
      </c>
      <c r="AK205" s="21"/>
      <c r="AL205" s="29">
        <v>1</v>
      </c>
      <c r="AM205" s="21"/>
      <c r="AN205" s="21"/>
      <c r="AO205" s="21"/>
      <c r="AP205" s="29">
        <v>1</v>
      </c>
      <c r="AQ205" s="29">
        <v>1</v>
      </c>
      <c r="AR205" s="21"/>
      <c r="AS205" s="21"/>
      <c r="AT205" s="21"/>
      <c r="AU205" s="21"/>
      <c r="AV205" s="21"/>
      <c r="AW205" s="21"/>
      <c r="AX205" s="29">
        <v>1</v>
      </c>
      <c r="AY205" s="21"/>
      <c r="AZ205" s="29">
        <v>1</v>
      </c>
      <c r="BA205" s="21"/>
      <c r="BB205" s="29">
        <v>1</v>
      </c>
      <c r="BC205" s="21"/>
      <c r="BD205" s="29">
        <v>0</v>
      </c>
    </row>
    <row r="206" spans="1:56" hidden="1" outlineLevel="1" x14ac:dyDescent="0.3">
      <c r="A206" s="1"/>
      <c r="B206" s="2">
        <v>13</v>
      </c>
      <c r="C206" s="2">
        <v>12</v>
      </c>
      <c r="D206" s="1" t="s">
        <v>111</v>
      </c>
      <c r="E206" s="13"/>
      <c r="F206" s="14"/>
      <c r="G206" s="14"/>
      <c r="H206" s="14"/>
      <c r="I206" s="14"/>
      <c r="J206" s="18">
        <v>1</v>
      </c>
      <c r="K206" s="14"/>
      <c r="L206" s="18">
        <v>1</v>
      </c>
      <c r="M206" s="14"/>
      <c r="N206" s="18">
        <v>1</v>
      </c>
      <c r="O206" s="14"/>
      <c r="P206" s="18">
        <v>1</v>
      </c>
      <c r="Q206" s="14"/>
      <c r="R206" s="13"/>
      <c r="S206" s="13"/>
      <c r="T206" s="39">
        <v>1</v>
      </c>
      <c r="U206" s="13"/>
      <c r="V206" s="39">
        <v>1</v>
      </c>
      <c r="W206" s="13"/>
      <c r="X206" s="39">
        <v>1</v>
      </c>
      <c r="Y206" s="13"/>
      <c r="Z206" s="39">
        <v>1</v>
      </c>
      <c r="AA206" s="13"/>
      <c r="AB206" s="13"/>
      <c r="AC206" s="13"/>
      <c r="AD206" s="39">
        <v>1</v>
      </c>
      <c r="AE206" s="13"/>
      <c r="AF206" s="39">
        <v>1</v>
      </c>
      <c r="AG206" s="13"/>
      <c r="AH206" s="13"/>
      <c r="AI206" s="13"/>
      <c r="AJ206" s="39">
        <v>1</v>
      </c>
      <c r="AK206" s="13"/>
      <c r="AL206" s="29">
        <v>1</v>
      </c>
      <c r="AM206" s="13"/>
      <c r="AN206" s="21"/>
      <c r="AO206" s="13"/>
      <c r="AP206" s="29">
        <v>3</v>
      </c>
      <c r="AQ206" s="29">
        <v>3</v>
      </c>
      <c r="AR206" s="13"/>
      <c r="AS206" s="13"/>
      <c r="AT206" s="13"/>
      <c r="AU206" s="13"/>
      <c r="AV206" s="13"/>
      <c r="AW206" s="13"/>
      <c r="AX206" s="39">
        <v>1</v>
      </c>
      <c r="AY206" s="13"/>
      <c r="AZ206" s="39">
        <v>1</v>
      </c>
      <c r="BA206" s="13"/>
      <c r="BB206" s="39">
        <v>1</v>
      </c>
      <c r="BC206" s="13"/>
      <c r="BD206" s="39">
        <v>0</v>
      </c>
    </row>
    <row r="207" spans="1:56" hidden="1" outlineLevel="1" x14ac:dyDescent="0.3">
      <c r="A207" s="1"/>
      <c r="B207" s="2">
        <v>11</v>
      </c>
      <c r="C207" s="2">
        <v>10</v>
      </c>
      <c r="D207" s="1" t="s">
        <v>1</v>
      </c>
      <c r="E207" s="13"/>
      <c r="F207" s="16"/>
      <c r="G207" s="14"/>
      <c r="H207" s="14"/>
      <c r="I207" s="14"/>
      <c r="J207" s="15">
        <v>0</v>
      </c>
      <c r="K207" s="14"/>
      <c r="L207" s="15">
        <v>0</v>
      </c>
      <c r="M207" s="14"/>
      <c r="N207" s="15">
        <v>0</v>
      </c>
      <c r="O207" s="14"/>
      <c r="P207" s="15">
        <v>0</v>
      </c>
      <c r="Q207" s="14"/>
      <c r="R207" s="13"/>
      <c r="S207" s="13"/>
      <c r="T207" s="19">
        <v>0</v>
      </c>
      <c r="U207" s="13"/>
      <c r="V207" s="19">
        <v>0</v>
      </c>
      <c r="W207" s="13"/>
      <c r="X207" s="19">
        <v>0</v>
      </c>
      <c r="Y207" s="13"/>
      <c r="Z207" s="19">
        <v>0</v>
      </c>
      <c r="AA207" s="13"/>
      <c r="AB207" s="13"/>
      <c r="AC207" s="13"/>
      <c r="AD207" s="39">
        <v>0</v>
      </c>
      <c r="AE207" s="13"/>
      <c r="AF207" s="39">
        <v>0</v>
      </c>
      <c r="AG207" s="13"/>
      <c r="AH207" s="13"/>
      <c r="AI207" s="13"/>
      <c r="AJ207" s="39">
        <v>0</v>
      </c>
      <c r="AK207" s="13"/>
      <c r="AL207" s="29">
        <v>0</v>
      </c>
      <c r="AM207" s="13"/>
      <c r="AN207" s="21"/>
      <c r="AO207" s="13"/>
      <c r="AP207" s="29">
        <v>0</v>
      </c>
      <c r="AQ207" s="29">
        <v>0</v>
      </c>
      <c r="AR207" s="13"/>
      <c r="AS207" s="13"/>
      <c r="AT207" s="13"/>
      <c r="AU207" s="13"/>
      <c r="AV207" s="13"/>
      <c r="AW207" s="13"/>
      <c r="AX207" s="39">
        <v>0</v>
      </c>
      <c r="AY207" s="13"/>
      <c r="AZ207" s="39">
        <v>0</v>
      </c>
      <c r="BA207" s="13"/>
      <c r="BB207" s="39">
        <v>0</v>
      </c>
      <c r="BC207" s="13"/>
      <c r="BD207" s="39">
        <v>0</v>
      </c>
    </row>
    <row r="208" spans="1:56" hidden="1" outlineLevel="1" x14ac:dyDescent="0.3">
      <c r="A208" s="1"/>
      <c r="B208" s="2">
        <v>9</v>
      </c>
      <c r="C208" s="2">
        <v>8</v>
      </c>
      <c r="D208" s="1" t="s">
        <v>112</v>
      </c>
      <c r="E208" s="13"/>
      <c r="F208" s="16"/>
      <c r="G208" s="14"/>
      <c r="H208" s="14"/>
      <c r="I208" s="14"/>
      <c r="J208" s="15">
        <v>0</v>
      </c>
      <c r="K208" s="14"/>
      <c r="L208" s="15">
        <v>0</v>
      </c>
      <c r="M208" s="14"/>
      <c r="N208" s="15">
        <v>0</v>
      </c>
      <c r="O208" s="14"/>
      <c r="P208" s="15">
        <v>0</v>
      </c>
      <c r="Q208" s="14"/>
      <c r="R208" s="13"/>
      <c r="S208" s="13"/>
      <c r="T208" s="19">
        <v>0</v>
      </c>
      <c r="U208" s="13"/>
      <c r="V208" s="19">
        <v>0</v>
      </c>
      <c r="W208" s="13"/>
      <c r="X208" s="19">
        <v>0</v>
      </c>
      <c r="Y208" s="13"/>
      <c r="Z208" s="19">
        <v>0</v>
      </c>
      <c r="AA208" s="13"/>
      <c r="AB208" s="13"/>
      <c r="AC208" s="13"/>
      <c r="AD208" s="19">
        <v>0</v>
      </c>
      <c r="AE208" s="13"/>
      <c r="AF208" s="19">
        <v>0</v>
      </c>
      <c r="AG208" s="13"/>
      <c r="AH208" s="40"/>
      <c r="AI208" s="13"/>
      <c r="AJ208" s="19">
        <v>0</v>
      </c>
      <c r="AK208" s="13"/>
      <c r="AL208" s="29">
        <v>0</v>
      </c>
      <c r="AM208" s="13"/>
      <c r="AN208" s="21"/>
      <c r="AO208" s="13"/>
      <c r="AP208" s="29">
        <v>0</v>
      </c>
      <c r="AQ208" s="29">
        <v>0</v>
      </c>
      <c r="AR208" s="13"/>
      <c r="AS208" s="13"/>
      <c r="AT208" s="13"/>
      <c r="AU208" s="13"/>
      <c r="AV208" s="40"/>
      <c r="AW208" s="13"/>
      <c r="AX208" s="19">
        <v>0</v>
      </c>
      <c r="AY208" s="13"/>
      <c r="AZ208" s="19">
        <v>0</v>
      </c>
      <c r="BA208" s="13"/>
      <c r="BB208" s="19">
        <v>0</v>
      </c>
      <c r="BC208" s="13"/>
      <c r="BD208" s="19">
        <v>0</v>
      </c>
    </row>
    <row r="209" spans="1:56" hidden="1" outlineLevel="1" x14ac:dyDescent="0.3">
      <c r="A209" s="1"/>
      <c r="B209" s="2">
        <v>7</v>
      </c>
      <c r="C209" s="2">
        <v>3</v>
      </c>
      <c r="D209" s="1" t="s">
        <v>113</v>
      </c>
      <c r="E209" s="13"/>
      <c r="F209" s="14"/>
      <c r="G209" s="14"/>
      <c r="H209" s="14"/>
      <c r="I209" s="14"/>
      <c r="J209" s="18" t="s">
        <v>210</v>
      </c>
      <c r="K209" s="14"/>
      <c r="L209" s="18" t="s">
        <v>210</v>
      </c>
      <c r="M209" s="14"/>
      <c r="N209" s="18" t="s">
        <v>210</v>
      </c>
      <c r="O209" s="14"/>
      <c r="P209" s="18" t="s">
        <v>210</v>
      </c>
      <c r="Q209" s="14"/>
      <c r="R209" s="13"/>
      <c r="S209" s="13"/>
      <c r="T209" s="39" t="s">
        <v>304</v>
      </c>
      <c r="U209" s="13"/>
      <c r="V209" s="39">
        <v>10</v>
      </c>
      <c r="W209" s="13"/>
      <c r="X209" s="39">
        <v>10</v>
      </c>
      <c r="Y209" s="13"/>
      <c r="Z209" s="39">
        <v>12</v>
      </c>
      <c r="AA209" s="13"/>
      <c r="AB209" s="13"/>
      <c r="AC209" s="13"/>
      <c r="AD209" s="39">
        <v>10</v>
      </c>
      <c r="AE209" s="13"/>
      <c r="AF209" s="39">
        <v>10</v>
      </c>
      <c r="AG209" s="13"/>
      <c r="AH209" s="13"/>
      <c r="AI209" s="13"/>
      <c r="AJ209" s="39" t="s">
        <v>210</v>
      </c>
      <c r="AK209" s="13"/>
      <c r="AL209" s="29">
        <v>14</v>
      </c>
      <c r="AM209" s="13"/>
      <c r="AN209" s="21"/>
      <c r="AO209" s="13"/>
      <c r="AP209" s="29">
        <v>14</v>
      </c>
      <c r="AQ209" s="29">
        <v>13</v>
      </c>
      <c r="AR209" s="13"/>
      <c r="AS209" s="13"/>
      <c r="AT209" s="13"/>
      <c r="AU209" s="13"/>
      <c r="AV209" s="13"/>
      <c r="AW209" s="13"/>
      <c r="AX209" s="39" t="s">
        <v>210</v>
      </c>
      <c r="AY209" s="13"/>
      <c r="AZ209" s="39" t="s">
        <v>304</v>
      </c>
      <c r="BA209" s="13"/>
      <c r="BB209" s="39" t="s">
        <v>304</v>
      </c>
      <c r="BC209" s="13"/>
      <c r="BD209" s="39">
        <v>0</v>
      </c>
    </row>
    <row r="210" spans="1:56" hidden="1" outlineLevel="1" x14ac:dyDescent="0.3">
      <c r="A210" s="1"/>
      <c r="B210" s="2">
        <v>2</v>
      </c>
      <c r="C210" s="2">
        <v>2</v>
      </c>
      <c r="D210" s="1" t="s">
        <v>114</v>
      </c>
      <c r="E210" s="13"/>
      <c r="F210" s="14"/>
      <c r="G210" s="14"/>
      <c r="H210" s="14"/>
      <c r="I210" s="14"/>
      <c r="J210" s="18">
        <v>1</v>
      </c>
      <c r="K210" s="14"/>
      <c r="L210" s="18">
        <v>1</v>
      </c>
      <c r="M210" s="14"/>
      <c r="N210" s="18">
        <v>1</v>
      </c>
      <c r="O210" s="14"/>
      <c r="P210" s="18">
        <v>1</v>
      </c>
      <c r="Q210" s="14"/>
      <c r="R210" s="13"/>
      <c r="S210" s="13"/>
      <c r="T210" s="39">
        <v>1</v>
      </c>
      <c r="U210" s="13"/>
      <c r="V210" s="39">
        <v>1</v>
      </c>
      <c r="W210" s="13"/>
      <c r="X210" s="39">
        <v>1</v>
      </c>
      <c r="Y210" s="13"/>
      <c r="Z210" s="39">
        <v>1</v>
      </c>
      <c r="AA210" s="13"/>
      <c r="AB210" s="13"/>
      <c r="AC210" s="13"/>
      <c r="AD210" s="39">
        <v>1</v>
      </c>
      <c r="AE210" s="13"/>
      <c r="AF210" s="39">
        <v>1</v>
      </c>
      <c r="AG210" s="13"/>
      <c r="AH210" s="13"/>
      <c r="AI210" s="13"/>
      <c r="AJ210" s="39">
        <v>1</v>
      </c>
      <c r="AK210" s="13"/>
      <c r="AL210" s="29">
        <v>0</v>
      </c>
      <c r="AM210" s="13"/>
      <c r="AN210" s="21"/>
      <c r="AO210" s="13"/>
      <c r="AP210" s="29">
        <v>1</v>
      </c>
      <c r="AQ210" s="29">
        <v>1</v>
      </c>
      <c r="AR210" s="13"/>
      <c r="AS210" s="13"/>
      <c r="AT210" s="13"/>
      <c r="AU210" s="13"/>
      <c r="AV210" s="13"/>
      <c r="AW210" s="13"/>
      <c r="AX210" s="39">
        <v>1</v>
      </c>
      <c r="AY210" s="13"/>
      <c r="AZ210" s="39">
        <v>1</v>
      </c>
      <c r="BA210" s="13"/>
      <c r="BB210" s="39">
        <v>1</v>
      </c>
      <c r="BC210" s="13"/>
      <c r="BD210" s="39">
        <v>0</v>
      </c>
    </row>
    <row r="211" spans="1:56" hidden="1" outlineLevel="1" x14ac:dyDescent="0.3">
      <c r="A211" s="1"/>
      <c r="B211" s="2">
        <v>1</v>
      </c>
      <c r="C211" s="2">
        <v>1</v>
      </c>
      <c r="D211" s="1" t="s">
        <v>115</v>
      </c>
      <c r="E211" s="13"/>
      <c r="F211" s="16"/>
      <c r="G211" s="14"/>
      <c r="H211" s="14"/>
      <c r="I211" s="14"/>
      <c r="J211" s="15">
        <v>0</v>
      </c>
      <c r="K211" s="14"/>
      <c r="L211" s="15">
        <v>0</v>
      </c>
      <c r="M211" s="14"/>
      <c r="N211" s="15">
        <v>0</v>
      </c>
      <c r="O211" s="14"/>
      <c r="P211" s="15">
        <v>0</v>
      </c>
      <c r="Q211" s="14"/>
      <c r="R211" s="13"/>
      <c r="S211" s="13"/>
      <c r="T211" s="19">
        <v>0</v>
      </c>
      <c r="U211" s="13"/>
      <c r="V211" s="19">
        <v>0</v>
      </c>
      <c r="W211" s="13"/>
      <c r="X211" s="19">
        <v>0</v>
      </c>
      <c r="Y211" s="13"/>
      <c r="Z211" s="19">
        <v>0</v>
      </c>
      <c r="AA211" s="13"/>
      <c r="AB211" s="13"/>
      <c r="AC211" s="13"/>
      <c r="AD211" s="19">
        <v>0</v>
      </c>
      <c r="AE211" s="13"/>
      <c r="AF211" s="19">
        <v>0</v>
      </c>
      <c r="AG211" s="13"/>
      <c r="AH211" s="40"/>
      <c r="AI211" s="13"/>
      <c r="AJ211" s="19">
        <v>0</v>
      </c>
      <c r="AK211" s="13"/>
      <c r="AL211" s="29">
        <v>0</v>
      </c>
      <c r="AM211" s="13"/>
      <c r="AN211" s="21"/>
      <c r="AO211" s="13"/>
      <c r="AP211" s="29">
        <v>0</v>
      </c>
      <c r="AQ211" s="29">
        <v>0</v>
      </c>
      <c r="AR211" s="13"/>
      <c r="AS211" s="13"/>
      <c r="AT211" s="13"/>
      <c r="AU211" s="13"/>
      <c r="AV211" s="40"/>
      <c r="AW211" s="13"/>
      <c r="AX211" s="19">
        <v>0</v>
      </c>
      <c r="AY211" s="13"/>
      <c r="AZ211" s="19">
        <v>0</v>
      </c>
      <c r="BA211" s="13"/>
      <c r="BB211" s="19">
        <v>0</v>
      </c>
      <c r="BC211" s="13"/>
      <c r="BD211" s="19">
        <v>1</v>
      </c>
    </row>
    <row r="212" spans="1:56" hidden="1" outlineLevel="1" x14ac:dyDescent="0.3">
      <c r="A212" s="1"/>
      <c r="B212" s="2">
        <v>0</v>
      </c>
      <c r="C212" s="2">
        <v>0</v>
      </c>
      <c r="D212" s="1" t="s">
        <v>116</v>
      </c>
      <c r="E212" s="13"/>
      <c r="F212" s="16"/>
      <c r="G212" s="14"/>
      <c r="H212" s="14"/>
      <c r="I212" s="14"/>
      <c r="J212" s="15">
        <v>0</v>
      </c>
      <c r="K212" s="14"/>
      <c r="L212" s="15">
        <v>0</v>
      </c>
      <c r="M212" s="14"/>
      <c r="N212" s="15">
        <v>0</v>
      </c>
      <c r="O212" s="14"/>
      <c r="P212" s="15">
        <v>0</v>
      </c>
      <c r="Q212" s="14"/>
      <c r="R212" s="13"/>
      <c r="S212" s="13"/>
      <c r="T212" s="19">
        <v>0</v>
      </c>
      <c r="U212" s="13"/>
      <c r="V212" s="19">
        <v>0</v>
      </c>
      <c r="W212" s="13"/>
      <c r="X212" s="19">
        <v>0</v>
      </c>
      <c r="Y212" s="13"/>
      <c r="Z212" s="19">
        <v>0</v>
      </c>
      <c r="AA212" s="13"/>
      <c r="AB212" s="13"/>
      <c r="AC212" s="13"/>
      <c r="AD212" s="19">
        <v>0</v>
      </c>
      <c r="AE212" s="13"/>
      <c r="AF212" s="19">
        <v>0</v>
      </c>
      <c r="AG212" s="13"/>
      <c r="AH212" s="40"/>
      <c r="AI212" s="13"/>
      <c r="AJ212" s="19">
        <v>0</v>
      </c>
      <c r="AK212" s="13"/>
      <c r="AL212" s="29">
        <v>0</v>
      </c>
      <c r="AM212" s="13"/>
      <c r="AN212" s="21"/>
      <c r="AO212" s="13"/>
      <c r="AP212" s="29">
        <v>0</v>
      </c>
      <c r="AQ212" s="29">
        <v>0</v>
      </c>
      <c r="AR212" s="13"/>
      <c r="AS212" s="13"/>
      <c r="AT212" s="13"/>
      <c r="AU212" s="13"/>
      <c r="AV212" s="40"/>
      <c r="AW212" s="13"/>
      <c r="AX212" s="19">
        <v>0</v>
      </c>
      <c r="AY212" s="13"/>
      <c r="AZ212" s="19">
        <v>0</v>
      </c>
      <c r="BA212" s="13"/>
      <c r="BB212" s="19">
        <v>0</v>
      </c>
      <c r="BC212" s="13"/>
      <c r="BD212" s="19">
        <v>1</v>
      </c>
    </row>
    <row r="213" spans="1:56" collapsed="1" x14ac:dyDescent="0.3">
      <c r="A213" s="1" t="s">
        <v>118</v>
      </c>
      <c r="B213" s="2"/>
      <c r="C213" s="2"/>
      <c r="D213" s="1"/>
      <c r="E213" s="13"/>
      <c r="F213" s="14"/>
      <c r="G213" s="14"/>
      <c r="H213" s="14"/>
      <c r="I213" s="14"/>
      <c r="J213" s="20" t="str">
        <f>BitsTo32Bit(J214:J221)</f>
        <v>0783</v>
      </c>
      <c r="K213" s="14"/>
      <c r="L213" s="20" t="str">
        <f>BitsTo32Bit(L214:L221)</f>
        <v>08D</v>
      </c>
      <c r="M213" s="14"/>
      <c r="N213" s="20" t="str">
        <f>BitsTo32Bit(N214:N221)</f>
        <v>083</v>
      </c>
      <c r="O213" s="14"/>
      <c r="P213" s="20" t="str">
        <f>BitsTo32Bit(P214:P221)</f>
        <v>08F</v>
      </c>
      <c r="Q213" s="14"/>
      <c r="R213" s="14"/>
      <c r="S213" s="13"/>
      <c r="T213" s="20" t="str">
        <f>BitsTo32Bit(T214:T221)</f>
        <v>08F</v>
      </c>
      <c r="U213" s="13"/>
      <c r="V213" s="20" t="str">
        <f>BitsTo32Bit(V214:V221)</f>
        <v>08F</v>
      </c>
      <c r="W213" s="13"/>
      <c r="X213" s="20" t="str">
        <f>BitsTo32Bit(X214:X221)</f>
        <v>08F</v>
      </c>
      <c r="Y213" s="13"/>
      <c r="Z213" s="20" t="str">
        <f>BitsTo32Bit(Z214:Z221)</f>
        <v>08F</v>
      </c>
      <c r="AA213" s="13"/>
      <c r="AB213" s="20" t="str">
        <f>BitsTo32Bit(AB214:AB221)</f>
        <v>08F</v>
      </c>
      <c r="AC213" s="13"/>
      <c r="AD213" s="13"/>
      <c r="AE213" s="13"/>
      <c r="AF213" s="13"/>
      <c r="AG213" s="13"/>
      <c r="AH213" s="14"/>
      <c r="AI213" s="13"/>
      <c r="AJ213" s="20" t="str">
        <f>BitsTo32Bit(AJ214:AJ221)</f>
        <v>0783</v>
      </c>
      <c r="AK213" s="13"/>
      <c r="AL213" s="20" t="str">
        <f>BitsTo32Bit(AL214:AL221)</f>
        <v>08F</v>
      </c>
      <c r="AM213" s="13"/>
      <c r="AN213" s="14"/>
      <c r="AO213" s="13"/>
      <c r="AP213" s="20" t="str">
        <f>BitsTo32Bit(AP214:AP221)</f>
        <v>08F</v>
      </c>
      <c r="AQ213" s="20" t="str">
        <f>BitsTo32Bit(AQ214:AQ221)</f>
        <v>08F</v>
      </c>
      <c r="AR213" s="13"/>
      <c r="AS213" s="13"/>
      <c r="AT213" s="13"/>
      <c r="AU213" s="13"/>
      <c r="AV213" s="13"/>
      <c r="AW213" s="13"/>
      <c r="AX213" s="20" t="str">
        <f>BitsTo32Bit(AX214:AX221)</f>
        <v>0783</v>
      </c>
      <c r="AY213" s="13"/>
      <c r="AZ213" s="20" t="str">
        <f>BitsTo32Bit(AZ214:AZ221)</f>
        <v>08F</v>
      </c>
      <c r="BA213" s="13"/>
      <c r="BB213" s="20" t="str">
        <f>BitsTo32Bit(BB214:BB221)</f>
        <v>08F</v>
      </c>
      <c r="BC213" s="13"/>
      <c r="BD213" s="20" t="str">
        <f>BitsTo32Bit(BD214:BD221)</f>
        <v>083</v>
      </c>
    </row>
    <row r="214" spans="1:56" hidden="1" outlineLevel="1" x14ac:dyDescent="0.3">
      <c r="A214" s="1"/>
      <c r="B214" s="2">
        <v>31</v>
      </c>
      <c r="C214" s="2">
        <v>11</v>
      </c>
      <c r="D214" s="1" t="s">
        <v>1</v>
      </c>
      <c r="E214" s="13"/>
      <c r="F214" s="16"/>
      <c r="G214" s="14"/>
      <c r="H214" s="14"/>
      <c r="I214" s="14"/>
      <c r="J214" s="15">
        <v>0</v>
      </c>
      <c r="K214" s="14"/>
      <c r="L214" s="15">
        <v>0</v>
      </c>
      <c r="M214" s="14"/>
      <c r="N214" s="15">
        <v>0</v>
      </c>
      <c r="O214" s="14"/>
      <c r="P214" s="15">
        <v>0</v>
      </c>
      <c r="Q214" s="14"/>
      <c r="R214" s="16"/>
      <c r="S214" s="13"/>
      <c r="T214" s="15">
        <v>0</v>
      </c>
      <c r="U214" s="13"/>
      <c r="V214" s="15">
        <v>0</v>
      </c>
      <c r="W214" s="13"/>
      <c r="X214" s="15">
        <v>0</v>
      </c>
      <c r="Y214" s="13"/>
      <c r="Z214" s="15">
        <v>0</v>
      </c>
      <c r="AA214" s="13"/>
      <c r="AB214" s="15">
        <v>0</v>
      </c>
      <c r="AC214" s="13"/>
      <c r="AD214" s="13"/>
      <c r="AE214" s="13"/>
      <c r="AF214" s="13"/>
      <c r="AG214" s="13"/>
      <c r="AH214" s="16"/>
      <c r="AI214" s="13"/>
      <c r="AJ214" s="15">
        <v>0</v>
      </c>
      <c r="AK214" s="13"/>
      <c r="AL214" s="15">
        <v>0</v>
      </c>
      <c r="AM214" s="13"/>
      <c r="AN214" s="16"/>
      <c r="AO214" s="13"/>
      <c r="AP214" s="15">
        <v>0</v>
      </c>
      <c r="AQ214" s="15">
        <v>0</v>
      </c>
      <c r="AR214" s="13"/>
      <c r="AS214" s="13"/>
      <c r="AT214" s="13"/>
      <c r="AU214" s="13"/>
      <c r="AV214" s="13"/>
      <c r="AW214" s="13"/>
      <c r="AX214" s="15">
        <v>0</v>
      </c>
      <c r="AY214" s="13"/>
      <c r="AZ214" s="15">
        <v>0</v>
      </c>
      <c r="BA214" s="13"/>
      <c r="BB214" s="15">
        <v>0</v>
      </c>
      <c r="BC214" s="13"/>
      <c r="BD214" s="15">
        <v>0</v>
      </c>
    </row>
    <row r="215" spans="1:56" hidden="1" outlineLevel="1" x14ac:dyDescent="0.3">
      <c r="A215" s="1"/>
      <c r="B215" s="2">
        <v>10</v>
      </c>
      <c r="C215" s="2">
        <v>8</v>
      </c>
      <c r="D215" s="1" t="s">
        <v>119</v>
      </c>
      <c r="E215" s="13"/>
      <c r="F215" s="14"/>
      <c r="G215" s="14"/>
      <c r="H215" s="14"/>
      <c r="I215" s="14"/>
      <c r="J215" s="18">
        <v>7</v>
      </c>
      <c r="K215" s="14"/>
      <c r="L215" s="18">
        <v>0</v>
      </c>
      <c r="M215" s="14"/>
      <c r="N215" s="18">
        <v>0</v>
      </c>
      <c r="O215" s="14"/>
      <c r="P215" s="18">
        <v>0</v>
      </c>
      <c r="Q215" s="14"/>
      <c r="R215" s="14"/>
      <c r="S215" s="13"/>
      <c r="T215" s="18">
        <v>0</v>
      </c>
      <c r="U215" s="13"/>
      <c r="V215" s="18">
        <v>0</v>
      </c>
      <c r="W215" s="13"/>
      <c r="X215" s="18">
        <v>0</v>
      </c>
      <c r="Y215" s="13"/>
      <c r="Z215" s="18">
        <v>0</v>
      </c>
      <c r="AA215" s="13"/>
      <c r="AB215" s="18">
        <v>0</v>
      </c>
      <c r="AC215" s="13"/>
      <c r="AD215" s="13"/>
      <c r="AE215" s="13"/>
      <c r="AF215" s="13"/>
      <c r="AG215" s="13"/>
      <c r="AH215" s="14"/>
      <c r="AI215" s="13"/>
      <c r="AJ215" s="18">
        <v>7</v>
      </c>
      <c r="AK215" s="13"/>
      <c r="AL215" s="18">
        <v>0</v>
      </c>
      <c r="AM215" s="13"/>
      <c r="AN215" s="14"/>
      <c r="AO215" s="13"/>
      <c r="AP215" s="18">
        <v>0</v>
      </c>
      <c r="AQ215" s="18">
        <v>0</v>
      </c>
      <c r="AR215" s="13"/>
      <c r="AS215" s="13"/>
      <c r="AT215" s="13"/>
      <c r="AU215" s="13"/>
      <c r="AV215" s="13"/>
      <c r="AW215" s="13"/>
      <c r="AX215" s="18">
        <v>7</v>
      </c>
      <c r="AY215" s="13"/>
      <c r="AZ215" s="18">
        <v>0</v>
      </c>
      <c r="BA215" s="13"/>
      <c r="BB215" s="18">
        <v>0</v>
      </c>
      <c r="BC215" s="13"/>
      <c r="BD215" s="18">
        <v>0</v>
      </c>
    </row>
    <row r="216" spans="1:56" hidden="1" outlineLevel="1" x14ac:dyDescent="0.3">
      <c r="A216" s="1"/>
      <c r="B216" s="2">
        <v>7</v>
      </c>
      <c r="C216" s="2">
        <v>7</v>
      </c>
      <c r="D216" s="1" t="s">
        <v>120</v>
      </c>
      <c r="E216" s="13"/>
      <c r="F216" s="14"/>
      <c r="G216" s="14"/>
      <c r="H216" s="14"/>
      <c r="I216" s="14"/>
      <c r="J216" s="18">
        <v>1</v>
      </c>
      <c r="K216" s="14"/>
      <c r="L216" s="18">
        <v>1</v>
      </c>
      <c r="M216" s="14"/>
      <c r="N216" s="18">
        <v>1</v>
      </c>
      <c r="O216" s="14"/>
      <c r="P216" s="18">
        <v>1</v>
      </c>
      <c r="Q216" s="14"/>
      <c r="R216" s="14"/>
      <c r="S216" s="13"/>
      <c r="T216" s="18">
        <v>1</v>
      </c>
      <c r="U216" s="13"/>
      <c r="V216" s="18">
        <v>1</v>
      </c>
      <c r="W216" s="13"/>
      <c r="X216" s="18">
        <v>1</v>
      </c>
      <c r="Y216" s="13"/>
      <c r="Z216" s="18">
        <v>1</v>
      </c>
      <c r="AA216" s="13"/>
      <c r="AB216" s="18">
        <v>1</v>
      </c>
      <c r="AC216" s="13"/>
      <c r="AD216" s="13"/>
      <c r="AE216" s="13"/>
      <c r="AF216" s="13"/>
      <c r="AG216" s="13"/>
      <c r="AH216" s="14"/>
      <c r="AI216" s="13"/>
      <c r="AJ216" s="18">
        <v>1</v>
      </c>
      <c r="AK216" s="13"/>
      <c r="AL216" s="18">
        <v>1</v>
      </c>
      <c r="AM216" s="13"/>
      <c r="AN216" s="14"/>
      <c r="AO216" s="13"/>
      <c r="AP216" s="18">
        <v>1</v>
      </c>
      <c r="AQ216" s="18">
        <v>1</v>
      </c>
      <c r="AR216" s="13"/>
      <c r="AS216" s="13"/>
      <c r="AT216" s="13"/>
      <c r="AU216" s="13"/>
      <c r="AV216" s="13"/>
      <c r="AW216" s="13"/>
      <c r="AX216" s="18">
        <v>1</v>
      </c>
      <c r="AY216" s="13"/>
      <c r="AZ216" s="18">
        <v>1</v>
      </c>
      <c r="BA216" s="13"/>
      <c r="BB216" s="18">
        <v>1</v>
      </c>
      <c r="BC216" s="13"/>
      <c r="BD216" s="18">
        <v>1</v>
      </c>
    </row>
    <row r="217" spans="1:56" hidden="1" outlineLevel="1" x14ac:dyDescent="0.3">
      <c r="A217" s="1"/>
      <c r="B217" s="2">
        <v>6</v>
      </c>
      <c r="C217" s="2">
        <v>6</v>
      </c>
      <c r="D217" s="1" t="s">
        <v>121</v>
      </c>
      <c r="E217" s="13"/>
      <c r="F217" s="14"/>
      <c r="G217" s="14"/>
      <c r="H217" s="14"/>
      <c r="I217" s="14"/>
      <c r="J217" s="15">
        <v>0</v>
      </c>
      <c r="K217" s="14"/>
      <c r="L217" s="15">
        <v>0</v>
      </c>
      <c r="M217" s="14"/>
      <c r="N217" s="15">
        <v>0</v>
      </c>
      <c r="O217" s="14"/>
      <c r="P217" s="15">
        <v>0</v>
      </c>
      <c r="Q217" s="14"/>
      <c r="R217" s="16"/>
      <c r="S217" s="13"/>
      <c r="T217" s="15">
        <v>0</v>
      </c>
      <c r="U217" s="13"/>
      <c r="V217" s="15">
        <v>0</v>
      </c>
      <c r="W217" s="13"/>
      <c r="X217" s="15">
        <v>0</v>
      </c>
      <c r="Y217" s="13"/>
      <c r="Z217" s="15">
        <v>0</v>
      </c>
      <c r="AA217" s="13"/>
      <c r="AB217" s="15">
        <v>0</v>
      </c>
      <c r="AC217" s="13"/>
      <c r="AD217" s="13"/>
      <c r="AE217" s="13"/>
      <c r="AF217" s="13"/>
      <c r="AG217" s="13"/>
      <c r="AH217" s="16"/>
      <c r="AI217" s="13"/>
      <c r="AJ217" s="15">
        <v>0</v>
      </c>
      <c r="AK217" s="13"/>
      <c r="AL217" s="15">
        <v>0</v>
      </c>
      <c r="AM217" s="13"/>
      <c r="AN217" s="16"/>
      <c r="AO217" s="13"/>
      <c r="AP217" s="15">
        <v>0</v>
      </c>
      <c r="AQ217" s="15">
        <v>0</v>
      </c>
      <c r="AR217" s="13"/>
      <c r="AS217" s="13"/>
      <c r="AT217" s="13"/>
      <c r="AU217" s="13"/>
      <c r="AV217" s="13"/>
      <c r="AW217" s="13"/>
      <c r="AX217" s="15">
        <v>0</v>
      </c>
      <c r="AY217" s="13"/>
      <c r="AZ217" s="15">
        <v>0</v>
      </c>
      <c r="BA217" s="13"/>
      <c r="BB217" s="15">
        <v>0</v>
      </c>
      <c r="BC217" s="13"/>
      <c r="BD217" s="15">
        <v>0</v>
      </c>
    </row>
    <row r="218" spans="1:56" hidden="1" outlineLevel="1" x14ac:dyDescent="0.3">
      <c r="A218" s="1"/>
      <c r="B218" s="2">
        <v>5</v>
      </c>
      <c r="C218" s="2">
        <v>5</v>
      </c>
      <c r="D218" s="1" t="s">
        <v>122</v>
      </c>
      <c r="E218" s="13"/>
      <c r="F218" s="14"/>
      <c r="G218" s="14"/>
      <c r="H218" s="14"/>
      <c r="I218" s="14"/>
      <c r="J218" s="18">
        <v>0</v>
      </c>
      <c r="K218" s="14"/>
      <c r="L218" s="18">
        <v>0</v>
      </c>
      <c r="M218" s="14"/>
      <c r="N218" s="18">
        <v>0</v>
      </c>
      <c r="O218" s="14"/>
      <c r="P218" s="18">
        <v>0</v>
      </c>
      <c r="Q218" s="14"/>
      <c r="R218" s="14"/>
      <c r="S218" s="13"/>
      <c r="T218" s="18">
        <v>0</v>
      </c>
      <c r="U218" s="13"/>
      <c r="V218" s="18">
        <v>0</v>
      </c>
      <c r="W218" s="13"/>
      <c r="X218" s="18">
        <v>0</v>
      </c>
      <c r="Y218" s="13"/>
      <c r="Z218" s="18">
        <v>0</v>
      </c>
      <c r="AA218" s="13"/>
      <c r="AB218" s="18">
        <v>0</v>
      </c>
      <c r="AC218" s="13"/>
      <c r="AD218" s="13"/>
      <c r="AE218" s="13"/>
      <c r="AF218" s="13"/>
      <c r="AG218" s="13"/>
      <c r="AH218" s="14"/>
      <c r="AI218" s="13"/>
      <c r="AJ218" s="18">
        <v>0</v>
      </c>
      <c r="AK218" s="13"/>
      <c r="AL218" s="18">
        <v>0</v>
      </c>
      <c r="AM218" s="13"/>
      <c r="AN218" s="14"/>
      <c r="AO218" s="13"/>
      <c r="AP218" s="18">
        <v>0</v>
      </c>
      <c r="AQ218" s="18">
        <v>0</v>
      </c>
      <c r="AR218" s="13"/>
      <c r="AS218" s="13"/>
      <c r="AT218" s="13"/>
      <c r="AU218" s="13"/>
      <c r="AV218" s="13"/>
      <c r="AW218" s="13"/>
      <c r="AX218" s="18">
        <v>0</v>
      </c>
      <c r="AY218" s="13"/>
      <c r="AZ218" s="18">
        <v>0</v>
      </c>
      <c r="BA218" s="13"/>
      <c r="BB218" s="18">
        <v>0</v>
      </c>
      <c r="BC218" s="13"/>
      <c r="BD218" s="18">
        <v>0</v>
      </c>
    </row>
    <row r="219" spans="1:56" hidden="1" outlineLevel="1" x14ac:dyDescent="0.3">
      <c r="A219" s="1"/>
      <c r="B219" s="2">
        <v>4</v>
      </c>
      <c r="C219" s="2">
        <v>4</v>
      </c>
      <c r="D219" s="1" t="s">
        <v>123</v>
      </c>
      <c r="E219" s="13"/>
      <c r="F219" s="14"/>
      <c r="G219" s="14"/>
      <c r="H219" s="14"/>
      <c r="I219" s="14"/>
      <c r="J219" s="15">
        <v>0</v>
      </c>
      <c r="K219" s="14"/>
      <c r="L219" s="15">
        <v>0</v>
      </c>
      <c r="M219" s="14"/>
      <c r="N219" s="15">
        <v>0</v>
      </c>
      <c r="O219" s="14"/>
      <c r="P219" s="15">
        <v>0</v>
      </c>
      <c r="Q219" s="14"/>
      <c r="R219" s="16"/>
      <c r="S219" s="13"/>
      <c r="T219" s="15">
        <v>0</v>
      </c>
      <c r="U219" s="13"/>
      <c r="V219" s="15">
        <v>0</v>
      </c>
      <c r="W219" s="13"/>
      <c r="X219" s="15">
        <v>0</v>
      </c>
      <c r="Y219" s="13"/>
      <c r="Z219" s="15">
        <v>0</v>
      </c>
      <c r="AA219" s="13"/>
      <c r="AB219" s="15">
        <v>0</v>
      </c>
      <c r="AC219" s="13"/>
      <c r="AD219" s="13"/>
      <c r="AE219" s="13"/>
      <c r="AF219" s="13"/>
      <c r="AG219" s="13"/>
      <c r="AH219" s="16"/>
      <c r="AI219" s="13"/>
      <c r="AJ219" s="15">
        <v>0</v>
      </c>
      <c r="AK219" s="13"/>
      <c r="AL219" s="15">
        <v>0</v>
      </c>
      <c r="AM219" s="13"/>
      <c r="AN219" s="16"/>
      <c r="AO219" s="13"/>
      <c r="AP219" s="15">
        <v>0</v>
      </c>
      <c r="AQ219" s="15">
        <v>0</v>
      </c>
      <c r="AR219" s="13"/>
      <c r="AS219" s="13"/>
      <c r="AT219" s="13"/>
      <c r="AU219" s="13"/>
      <c r="AV219" s="13"/>
      <c r="AW219" s="13"/>
      <c r="AX219" s="15">
        <v>0</v>
      </c>
      <c r="AY219" s="13"/>
      <c r="AZ219" s="15">
        <v>0</v>
      </c>
      <c r="BA219" s="13"/>
      <c r="BB219" s="15">
        <v>0</v>
      </c>
      <c r="BC219" s="13"/>
      <c r="BD219" s="15">
        <v>0</v>
      </c>
    </row>
    <row r="220" spans="1:56" hidden="1" outlineLevel="1" x14ac:dyDescent="0.3">
      <c r="A220" s="1"/>
      <c r="B220" s="2">
        <v>3</v>
      </c>
      <c r="C220" s="2">
        <v>1</v>
      </c>
      <c r="D220" s="1" t="s">
        <v>124</v>
      </c>
      <c r="E220" s="13"/>
      <c r="F220" s="14"/>
      <c r="G220" s="14"/>
      <c r="H220" s="14"/>
      <c r="I220" s="14"/>
      <c r="J220" s="18">
        <v>1</v>
      </c>
      <c r="K220" s="14"/>
      <c r="L220" s="18">
        <v>6</v>
      </c>
      <c r="M220" s="14"/>
      <c r="N220" s="18">
        <v>1</v>
      </c>
      <c r="O220" s="14"/>
      <c r="P220" s="15">
        <v>7</v>
      </c>
      <c r="Q220" s="14"/>
      <c r="R220" s="16"/>
      <c r="S220" s="13"/>
      <c r="T220" s="15">
        <v>7</v>
      </c>
      <c r="U220" s="13"/>
      <c r="V220" s="15">
        <v>7</v>
      </c>
      <c r="W220" s="13"/>
      <c r="X220" s="15">
        <v>7</v>
      </c>
      <c r="Y220" s="13"/>
      <c r="Z220" s="15">
        <v>7</v>
      </c>
      <c r="AA220" s="13"/>
      <c r="AB220" s="15">
        <v>7</v>
      </c>
      <c r="AC220" s="13"/>
      <c r="AD220" s="13"/>
      <c r="AE220" s="13"/>
      <c r="AF220" s="13"/>
      <c r="AG220" s="13"/>
      <c r="AH220" s="14"/>
      <c r="AI220" s="13"/>
      <c r="AJ220" s="18">
        <v>1</v>
      </c>
      <c r="AK220" s="13"/>
      <c r="AL220" s="18">
        <v>7</v>
      </c>
      <c r="AM220" s="13"/>
      <c r="AN220" s="14"/>
      <c r="AO220" s="13"/>
      <c r="AP220" s="18">
        <v>7</v>
      </c>
      <c r="AQ220" s="18">
        <v>7</v>
      </c>
      <c r="AR220" s="13"/>
      <c r="AS220" s="13"/>
      <c r="AT220" s="13"/>
      <c r="AU220" s="13"/>
      <c r="AV220" s="13"/>
      <c r="AW220" s="13"/>
      <c r="AX220" s="18">
        <v>1</v>
      </c>
      <c r="AY220" s="13"/>
      <c r="AZ220" s="18">
        <v>7</v>
      </c>
      <c r="BA220" s="13"/>
      <c r="BB220" s="18">
        <v>7</v>
      </c>
      <c r="BC220" s="13"/>
      <c r="BD220" s="18">
        <v>1</v>
      </c>
    </row>
    <row r="221" spans="1:56" hidden="1" outlineLevel="1" x14ac:dyDescent="0.3">
      <c r="A221" s="1"/>
      <c r="B221" s="2">
        <v>0</v>
      </c>
      <c r="C221" s="2">
        <v>0</v>
      </c>
      <c r="D221" s="1" t="s">
        <v>125</v>
      </c>
      <c r="E221" s="13"/>
      <c r="F221" s="14"/>
      <c r="G221" s="14"/>
      <c r="H221" s="14"/>
      <c r="I221" s="14"/>
      <c r="J221" s="15">
        <v>1</v>
      </c>
      <c r="K221" s="14"/>
      <c r="L221" s="15">
        <v>1</v>
      </c>
      <c r="M221" s="14"/>
      <c r="N221" s="15">
        <v>1</v>
      </c>
      <c r="O221" s="14"/>
      <c r="P221" s="15">
        <v>1</v>
      </c>
      <c r="Q221" s="14"/>
      <c r="R221" s="16"/>
      <c r="S221" s="13"/>
      <c r="T221" s="15">
        <v>1</v>
      </c>
      <c r="U221" s="13"/>
      <c r="V221" s="15">
        <v>1</v>
      </c>
      <c r="W221" s="13"/>
      <c r="X221" s="15">
        <v>1</v>
      </c>
      <c r="Y221" s="13"/>
      <c r="Z221" s="15">
        <v>1</v>
      </c>
      <c r="AA221" s="13"/>
      <c r="AB221" s="15">
        <v>1</v>
      </c>
      <c r="AC221" s="13"/>
      <c r="AD221" s="13"/>
      <c r="AE221" s="13"/>
      <c r="AF221" s="13"/>
      <c r="AG221" s="13"/>
      <c r="AH221" s="16"/>
      <c r="AI221" s="13"/>
      <c r="AJ221" s="15">
        <v>1</v>
      </c>
      <c r="AK221" s="13"/>
      <c r="AL221" s="15">
        <v>1</v>
      </c>
      <c r="AM221" s="13"/>
      <c r="AN221" s="16"/>
      <c r="AO221" s="13"/>
      <c r="AP221" s="15">
        <v>1</v>
      </c>
      <c r="AQ221" s="15">
        <v>1</v>
      </c>
      <c r="AR221" s="13"/>
      <c r="AS221" s="13"/>
      <c r="AT221" s="13"/>
      <c r="AU221" s="13"/>
      <c r="AV221" s="13"/>
      <c r="AW221" s="13"/>
      <c r="AX221" s="15">
        <v>1</v>
      </c>
      <c r="AY221" s="13"/>
      <c r="AZ221" s="15">
        <v>1</v>
      </c>
      <c r="BA221" s="13"/>
      <c r="BB221" s="15">
        <v>1</v>
      </c>
      <c r="BC221" s="13"/>
      <c r="BD221" s="15">
        <v>1</v>
      </c>
    </row>
    <row r="222" spans="1:56" collapsed="1" x14ac:dyDescent="0.3">
      <c r="A222" s="1" t="s">
        <v>126</v>
      </c>
      <c r="B222" s="2"/>
      <c r="C222" s="2"/>
      <c r="D222" s="1"/>
      <c r="E222" s="13"/>
      <c r="F222" s="14"/>
      <c r="G222" s="14"/>
      <c r="H222" s="14"/>
      <c r="I222" s="14"/>
      <c r="J222" s="20" t="str">
        <f>BitsTo32Bit(J223:J227)</f>
        <v>17</v>
      </c>
      <c r="K222" s="14"/>
      <c r="L222" s="20" t="str">
        <f>BitsTo32Bit(L223:L227)</f>
        <v>5</v>
      </c>
      <c r="M222" s="14"/>
      <c r="N222" s="20" t="str">
        <f>BitsTo32Bit(N223:N227)</f>
        <v>5</v>
      </c>
      <c r="O222" s="14"/>
      <c r="P222" s="20" t="str">
        <f>BitsTo32Bit(P223:P227)</f>
        <v>0</v>
      </c>
      <c r="Q222" s="14"/>
      <c r="R222" s="14"/>
      <c r="S222" s="13"/>
      <c r="T222" s="20" t="str">
        <f>BitsTo32Bit(T223:T227)</f>
        <v>0</v>
      </c>
      <c r="U222" s="13"/>
      <c r="V222" s="20" t="str">
        <f>BitsTo32Bit(V223:V227)</f>
        <v>0</v>
      </c>
      <c r="W222" s="13"/>
      <c r="X222" s="20" t="str">
        <f>BitsTo32Bit(X223:X227)</f>
        <v>0</v>
      </c>
      <c r="Y222" s="13"/>
      <c r="Z222" s="20" t="str">
        <f>BitsTo32Bit(Z223:Z227)</f>
        <v>0</v>
      </c>
      <c r="AA222" s="13"/>
      <c r="AB222" s="14"/>
      <c r="AC222" s="13"/>
      <c r="AD222" s="20" t="str">
        <f>BitsTo32Bit(AD223:AD227)</f>
        <v>0</v>
      </c>
      <c r="AE222" s="13"/>
      <c r="AF222" s="20" t="str">
        <f>BitsTo32Bit(AF223:AF227)</f>
        <v>0</v>
      </c>
      <c r="AG222" s="13"/>
      <c r="AH222" s="14"/>
      <c r="AI222" s="13"/>
      <c r="AJ222" s="20" t="str">
        <f>BitsTo32Bit(AJ223:AJ227)</f>
        <v>00F000001F</v>
      </c>
      <c r="AK222" s="13"/>
      <c r="AL222" s="20" t="str">
        <f>BitsTo32Bit(AL223:AL227)</f>
        <v>00FF000F</v>
      </c>
      <c r="AM222" s="13"/>
      <c r="AN222" s="13"/>
      <c r="AO222" s="13"/>
      <c r="AP222" s="20" t="str">
        <f>BitsTo32Bit(AP223:AP227)</f>
        <v>00FF000F</v>
      </c>
      <c r="AQ222" s="20" t="str">
        <f>BitsTo32Bit(AQ223:AQ227)</f>
        <v>00FF000F</v>
      </c>
      <c r="AR222" s="13"/>
      <c r="AS222" s="13"/>
      <c r="AT222" s="13"/>
      <c r="AU222" s="13"/>
      <c r="AV222" s="13"/>
      <c r="AW222" s="13"/>
      <c r="AX222" s="20" t="str">
        <f>BitsTo32Bit(AX223:AX227)</f>
        <v>17</v>
      </c>
      <c r="AY222" s="13"/>
      <c r="AZ222" s="20" t="str">
        <f>BitsTo32Bit(AZ223:AZ227)</f>
        <v>0</v>
      </c>
      <c r="BA222" s="13"/>
      <c r="BB222" s="20" t="str">
        <f>BitsTo32Bit(BB223:BB227)</f>
        <v>0</v>
      </c>
      <c r="BC222" s="13"/>
      <c r="BD222" s="20" t="str">
        <f>BitsTo32Bit(BD223:BD227)</f>
        <v>0</v>
      </c>
    </row>
    <row r="223" spans="1:56" hidden="1" outlineLevel="1" x14ac:dyDescent="0.3">
      <c r="A223" s="1"/>
      <c r="B223" s="2">
        <v>31</v>
      </c>
      <c r="C223" s="2">
        <v>16</v>
      </c>
      <c r="D223" s="1" t="s">
        <v>127</v>
      </c>
      <c r="E223" s="13"/>
      <c r="F223" s="14"/>
      <c r="G223" s="14"/>
      <c r="H223" s="14"/>
      <c r="I223" s="14"/>
      <c r="J223" s="18">
        <v>0</v>
      </c>
      <c r="K223" s="14"/>
      <c r="L223" s="18">
        <v>0</v>
      </c>
      <c r="M223" s="14"/>
      <c r="N223" s="18">
        <v>0</v>
      </c>
      <c r="O223" s="14"/>
      <c r="P223" s="18">
        <v>0</v>
      </c>
      <c r="Q223" s="14"/>
      <c r="R223" s="14"/>
      <c r="S223" s="13"/>
      <c r="T223" s="18">
        <v>0</v>
      </c>
      <c r="U223" s="13"/>
      <c r="V223" s="18">
        <v>0</v>
      </c>
      <c r="W223" s="13"/>
      <c r="X223" s="18">
        <v>0</v>
      </c>
      <c r="Y223" s="13"/>
      <c r="Z223" s="18">
        <v>0</v>
      </c>
      <c r="AA223" s="13"/>
      <c r="AB223" s="14"/>
      <c r="AC223" s="13"/>
      <c r="AD223" s="18">
        <v>0</v>
      </c>
      <c r="AE223" s="13"/>
      <c r="AF223" s="18">
        <v>0</v>
      </c>
      <c r="AG223" s="13"/>
      <c r="AH223" s="14"/>
      <c r="AI223" s="13"/>
      <c r="AJ223" s="18" t="s">
        <v>351</v>
      </c>
      <c r="AK223" s="13"/>
      <c r="AL223" s="18" t="s">
        <v>352</v>
      </c>
      <c r="AM223" s="13"/>
      <c r="AN223" s="13"/>
      <c r="AO223" s="13"/>
      <c r="AP223" s="18" t="s">
        <v>352</v>
      </c>
      <c r="AQ223" s="18" t="s">
        <v>352</v>
      </c>
      <c r="AR223" s="13"/>
      <c r="AS223" s="13"/>
      <c r="AT223" s="13"/>
      <c r="AU223" s="13"/>
      <c r="AV223" s="13"/>
      <c r="AW223" s="13"/>
      <c r="AX223" s="18">
        <v>0</v>
      </c>
      <c r="AY223" s="13"/>
      <c r="AZ223" s="18">
        <v>0</v>
      </c>
      <c r="BA223" s="13"/>
      <c r="BB223" s="18">
        <v>0</v>
      </c>
      <c r="BC223" s="13"/>
      <c r="BD223" s="18">
        <v>0</v>
      </c>
    </row>
    <row r="224" spans="1:56" s="26" customFormat="1" hidden="1" outlineLevel="1" x14ac:dyDescent="0.3">
      <c r="A224" s="1"/>
      <c r="B224" s="2">
        <v>15</v>
      </c>
      <c r="C224" s="2">
        <v>6</v>
      </c>
      <c r="D224" s="1" t="s">
        <v>1</v>
      </c>
      <c r="E224" s="21"/>
      <c r="F224" s="27"/>
      <c r="G224" s="22"/>
      <c r="H224" s="22"/>
      <c r="I224" s="22"/>
      <c r="J224" s="28">
        <v>0</v>
      </c>
      <c r="K224" s="22"/>
      <c r="L224" s="28">
        <v>0</v>
      </c>
      <c r="M224" s="22"/>
      <c r="N224" s="28">
        <v>0</v>
      </c>
      <c r="O224" s="22"/>
      <c r="P224" s="28">
        <v>0</v>
      </c>
      <c r="Q224" s="22"/>
      <c r="R224" s="27"/>
      <c r="S224" s="21"/>
      <c r="T224" s="28">
        <v>0</v>
      </c>
      <c r="U224" s="21"/>
      <c r="V224" s="28">
        <v>0</v>
      </c>
      <c r="W224" s="21"/>
      <c r="X224" s="28">
        <v>0</v>
      </c>
      <c r="Y224" s="21"/>
      <c r="Z224" s="28">
        <v>0</v>
      </c>
      <c r="AA224" s="21"/>
      <c r="AB224" s="27"/>
      <c r="AC224" s="21"/>
      <c r="AD224" s="28">
        <v>0</v>
      </c>
      <c r="AE224" s="21"/>
      <c r="AF224" s="28">
        <v>0</v>
      </c>
      <c r="AG224" s="21"/>
      <c r="AH224" s="27"/>
      <c r="AI224" s="21"/>
      <c r="AJ224" s="28">
        <v>0</v>
      </c>
      <c r="AK224" s="21"/>
      <c r="AL224" s="28">
        <v>0</v>
      </c>
      <c r="AM224" s="21"/>
      <c r="AN224" s="21"/>
      <c r="AO224" s="21"/>
      <c r="AP224" s="28">
        <v>0</v>
      </c>
      <c r="AQ224" s="28">
        <v>0</v>
      </c>
      <c r="AR224" s="21"/>
      <c r="AS224" s="21"/>
      <c r="AT224" s="21"/>
      <c r="AU224" s="21"/>
      <c r="AV224" s="21"/>
      <c r="AW224" s="21"/>
      <c r="AX224" s="28">
        <v>0</v>
      </c>
      <c r="AY224" s="21"/>
      <c r="AZ224" s="28">
        <v>0</v>
      </c>
      <c r="BA224" s="21"/>
      <c r="BB224" s="28">
        <v>0</v>
      </c>
      <c r="BC224" s="21"/>
      <c r="BD224" s="28">
        <v>0</v>
      </c>
    </row>
    <row r="225" spans="1:56" s="26" customFormat="1" hidden="1" outlineLevel="1" x14ac:dyDescent="0.3">
      <c r="A225" s="1"/>
      <c r="B225" s="2">
        <v>5</v>
      </c>
      <c r="C225" s="2">
        <v>5</v>
      </c>
      <c r="D225" s="1" t="s">
        <v>313</v>
      </c>
      <c r="E225" s="21"/>
      <c r="F225" s="27"/>
      <c r="G225" s="22"/>
      <c r="H225" s="22"/>
      <c r="I225" s="22"/>
      <c r="J225" s="28">
        <v>0</v>
      </c>
      <c r="K225" s="22"/>
      <c r="L225" s="28">
        <v>0</v>
      </c>
      <c r="M225" s="22"/>
      <c r="N225" s="28">
        <v>0</v>
      </c>
      <c r="O225" s="22"/>
      <c r="P225" s="28">
        <v>0</v>
      </c>
      <c r="Q225" s="22"/>
      <c r="R225" s="27"/>
      <c r="S225" s="21"/>
      <c r="T225" s="28">
        <v>0</v>
      </c>
      <c r="U225" s="21"/>
      <c r="V225" s="28">
        <v>0</v>
      </c>
      <c r="W225" s="21"/>
      <c r="X225" s="28">
        <v>0</v>
      </c>
      <c r="Y225" s="21"/>
      <c r="Z225" s="28">
        <v>0</v>
      </c>
      <c r="AA225" s="21"/>
      <c r="AB225" s="27"/>
      <c r="AC225" s="21"/>
      <c r="AD225" s="28">
        <v>0</v>
      </c>
      <c r="AE225" s="21"/>
      <c r="AF225" s="28">
        <v>0</v>
      </c>
      <c r="AG225" s="21"/>
      <c r="AH225" s="27"/>
      <c r="AI225" s="21"/>
      <c r="AJ225" s="28">
        <v>0</v>
      </c>
      <c r="AK225" s="21"/>
      <c r="AL225" s="28">
        <v>0</v>
      </c>
      <c r="AM225" s="21"/>
      <c r="AN225" s="21"/>
      <c r="AO225" s="21"/>
      <c r="AP225" s="28">
        <v>0</v>
      </c>
      <c r="AQ225" s="28">
        <v>0</v>
      </c>
      <c r="AR225" s="21"/>
      <c r="AS225" s="21"/>
      <c r="AT225" s="21"/>
      <c r="AU225" s="21"/>
      <c r="AV225" s="21"/>
      <c r="AW225" s="21"/>
      <c r="AX225" s="28">
        <v>0</v>
      </c>
      <c r="AY225" s="21"/>
      <c r="AZ225" s="28">
        <v>0</v>
      </c>
      <c r="BA225" s="21"/>
      <c r="BB225" s="28">
        <v>0</v>
      </c>
      <c r="BC225" s="21"/>
      <c r="BD225" s="28">
        <v>0</v>
      </c>
    </row>
    <row r="226" spans="1:56" hidden="1" outlineLevel="1" x14ac:dyDescent="0.3">
      <c r="A226" s="1"/>
      <c r="B226" s="2">
        <v>4</v>
      </c>
      <c r="C226" s="2">
        <v>1</v>
      </c>
      <c r="D226" s="1" t="s">
        <v>128</v>
      </c>
      <c r="E226" s="13"/>
      <c r="F226" s="14"/>
      <c r="G226" s="14"/>
      <c r="H226" s="14"/>
      <c r="I226" s="14"/>
      <c r="J226" s="18" t="s">
        <v>305</v>
      </c>
      <c r="K226" s="14"/>
      <c r="L226" s="18">
        <v>2</v>
      </c>
      <c r="M226" s="14"/>
      <c r="N226" s="18">
        <v>2</v>
      </c>
      <c r="O226" s="14"/>
      <c r="P226" s="18">
        <v>0</v>
      </c>
      <c r="Q226" s="14"/>
      <c r="R226" s="14"/>
      <c r="S226" s="13"/>
      <c r="T226" s="18">
        <v>0</v>
      </c>
      <c r="U226" s="13"/>
      <c r="V226" s="18">
        <v>0</v>
      </c>
      <c r="W226" s="13"/>
      <c r="X226" s="18">
        <v>0</v>
      </c>
      <c r="Y226" s="13"/>
      <c r="Z226" s="18">
        <v>0</v>
      </c>
      <c r="AA226" s="13"/>
      <c r="AB226" s="14"/>
      <c r="AC226" s="13"/>
      <c r="AD226" s="18">
        <v>0</v>
      </c>
      <c r="AE226" s="13"/>
      <c r="AF226" s="18">
        <v>0</v>
      </c>
      <c r="AG226" s="13"/>
      <c r="AH226" s="14"/>
      <c r="AI226" s="13"/>
      <c r="AJ226" s="18" t="s">
        <v>117</v>
      </c>
      <c r="AK226" s="13"/>
      <c r="AL226" s="18">
        <v>7</v>
      </c>
      <c r="AM226" s="13"/>
      <c r="AN226" s="13"/>
      <c r="AO226" s="13"/>
      <c r="AP226" s="18">
        <v>7</v>
      </c>
      <c r="AQ226" s="18">
        <v>7</v>
      </c>
      <c r="AR226" s="13"/>
      <c r="AS226" s="13"/>
      <c r="AT226" s="13"/>
      <c r="AU226" s="13"/>
      <c r="AV226" s="13"/>
      <c r="AW226" s="13"/>
      <c r="AX226" s="18" t="s">
        <v>305</v>
      </c>
      <c r="AY226" s="13"/>
      <c r="AZ226" s="18">
        <v>0</v>
      </c>
      <c r="BA226" s="13"/>
      <c r="BB226" s="18">
        <v>0</v>
      </c>
      <c r="BC226" s="13"/>
      <c r="BD226" s="18">
        <v>0</v>
      </c>
    </row>
    <row r="227" spans="1:56" hidden="1" outlineLevel="1" x14ac:dyDescent="0.3">
      <c r="A227" s="1"/>
      <c r="B227" s="2">
        <v>0</v>
      </c>
      <c r="C227" s="2">
        <v>0</v>
      </c>
      <c r="D227" s="1" t="s">
        <v>129</v>
      </c>
      <c r="E227" s="13"/>
      <c r="F227" s="14"/>
      <c r="G227" s="14"/>
      <c r="H227" s="14"/>
      <c r="I227" s="14"/>
      <c r="J227" s="18">
        <v>1</v>
      </c>
      <c r="K227" s="14"/>
      <c r="L227" s="18">
        <v>1</v>
      </c>
      <c r="M227" s="14"/>
      <c r="N227" s="18">
        <v>1</v>
      </c>
      <c r="O227" s="14"/>
      <c r="P227" s="18">
        <v>0</v>
      </c>
      <c r="Q227" s="14"/>
      <c r="R227" s="14"/>
      <c r="S227" s="13"/>
      <c r="T227" s="18">
        <v>0</v>
      </c>
      <c r="U227" s="13"/>
      <c r="V227" s="18">
        <v>0</v>
      </c>
      <c r="W227" s="13"/>
      <c r="X227" s="18">
        <v>0</v>
      </c>
      <c r="Y227" s="13"/>
      <c r="Z227" s="18">
        <v>0</v>
      </c>
      <c r="AA227" s="13"/>
      <c r="AB227" s="14"/>
      <c r="AC227" s="13"/>
      <c r="AD227" s="18">
        <v>0</v>
      </c>
      <c r="AE227" s="13"/>
      <c r="AF227" s="18">
        <v>0</v>
      </c>
      <c r="AG227" s="13"/>
      <c r="AH227" s="14"/>
      <c r="AI227" s="13"/>
      <c r="AJ227" s="18">
        <v>1</v>
      </c>
      <c r="AK227" s="13"/>
      <c r="AL227" s="18">
        <v>1</v>
      </c>
      <c r="AM227" s="13"/>
      <c r="AN227" s="13"/>
      <c r="AO227" s="13"/>
      <c r="AP227" s="18">
        <v>1</v>
      </c>
      <c r="AQ227" s="18">
        <v>1</v>
      </c>
      <c r="AR227" s="13"/>
      <c r="AS227" s="13"/>
      <c r="AT227" s="13"/>
      <c r="AU227" s="13"/>
      <c r="AV227" s="13"/>
      <c r="AW227" s="13"/>
      <c r="AX227" s="18">
        <v>1</v>
      </c>
      <c r="AY227" s="13"/>
      <c r="AZ227" s="18">
        <v>0</v>
      </c>
      <c r="BA227" s="13"/>
      <c r="BB227" s="18">
        <v>0</v>
      </c>
      <c r="BC227" s="13"/>
      <c r="BD227" s="18">
        <v>0</v>
      </c>
    </row>
    <row r="228" spans="1:56" collapsed="1" x14ac:dyDescent="0.3">
      <c r="A228" s="1" t="s">
        <v>130</v>
      </c>
      <c r="B228" s="2"/>
      <c r="C228" s="2"/>
      <c r="D228" s="1"/>
      <c r="E228" s="13"/>
      <c r="F228" s="14"/>
      <c r="G228" s="14"/>
      <c r="H228" s="14"/>
      <c r="I228" s="14"/>
      <c r="J228" s="20" t="str">
        <f>BitsTo32Bit(J229:J232)</f>
        <v>0</v>
      </c>
      <c r="K228" s="14"/>
      <c r="L228" s="20" t="str">
        <f>BitsTo32Bit(L229:L232)</f>
        <v>0</v>
      </c>
      <c r="M228" s="14"/>
      <c r="N228" s="20" t="str">
        <f>BitsTo32Bit(N229:N232)</f>
        <v>0</v>
      </c>
      <c r="O228" s="14"/>
      <c r="P228" s="20" t="str">
        <f>BitsTo32Bit(P229:P232)</f>
        <v>0</v>
      </c>
      <c r="Q228" s="14"/>
      <c r="R228" s="14"/>
      <c r="S228" s="13"/>
      <c r="T228" s="20" t="str">
        <f>BitsTo32Bit(T229:T232)</f>
        <v>0</v>
      </c>
      <c r="U228" s="13"/>
      <c r="V228" s="20" t="str">
        <f>BitsTo32Bit(V229:V232)</f>
        <v>0</v>
      </c>
      <c r="W228" s="13"/>
      <c r="X228" s="20" t="str">
        <f>BitsTo32Bit(X229:X232)</f>
        <v>0</v>
      </c>
      <c r="Y228" s="13"/>
      <c r="Z228" s="20" t="str">
        <f>BitsTo32Bit(Z229:Z232)</f>
        <v>0</v>
      </c>
      <c r="AA228" s="13"/>
      <c r="AB228" s="14"/>
      <c r="AC228" s="13"/>
      <c r="AD228" s="20" t="str">
        <f>BitsTo32Bit(AD229:AD232)</f>
        <v>0</v>
      </c>
      <c r="AE228" s="13"/>
      <c r="AF228" s="20" t="str">
        <f>BitsTo32Bit(AF229:AF232)</f>
        <v>0</v>
      </c>
      <c r="AG228" s="13"/>
      <c r="AH228" s="14"/>
      <c r="AI228" s="13"/>
      <c r="AJ228" s="20" t="str">
        <f>BitsTo32Bit(AJ229:AJ232)</f>
        <v>0</v>
      </c>
      <c r="AK228" s="13"/>
      <c r="AL228" s="20" t="str">
        <f>BitsTo32Bit(AL229:AL232)</f>
        <v>0</v>
      </c>
      <c r="AM228" s="13"/>
      <c r="AN228" s="13"/>
      <c r="AO228" s="13"/>
      <c r="AP228" s="20" t="str">
        <f>BitsTo32Bit(AP229:AP232)</f>
        <v>0</v>
      </c>
      <c r="AQ228" s="20" t="str">
        <f>BitsTo32Bit(AQ229:AQ232)</f>
        <v>0</v>
      </c>
      <c r="AR228" s="13"/>
      <c r="AS228" s="13"/>
      <c r="AT228" s="13"/>
      <c r="AU228" s="13"/>
      <c r="AV228" s="13"/>
      <c r="AW228" s="13"/>
      <c r="AX228" s="20" t="str">
        <f>BitsTo32Bit(AX229:AX232)</f>
        <v>0</v>
      </c>
      <c r="AY228" s="13"/>
      <c r="AZ228" s="20" t="str">
        <f>BitsTo32Bit(AZ229:AZ232)</f>
        <v>0</v>
      </c>
      <c r="BA228" s="13"/>
      <c r="BB228" s="20" t="str">
        <f>BitsTo32Bit(BB229:BB232)</f>
        <v>0</v>
      </c>
      <c r="BC228" s="13"/>
      <c r="BD228" s="20" t="str">
        <f>BitsTo32Bit(BD229:BD232)</f>
        <v>0</v>
      </c>
    </row>
    <row r="229" spans="1:56" hidden="1" outlineLevel="1" x14ac:dyDescent="0.3">
      <c r="A229" s="1"/>
      <c r="B229" s="2">
        <v>31</v>
      </c>
      <c r="C229" s="2">
        <v>16</v>
      </c>
      <c r="D229" s="1" t="s">
        <v>131</v>
      </c>
      <c r="E229" s="13"/>
      <c r="F229" s="14"/>
      <c r="G229" s="14"/>
      <c r="H229" s="14"/>
      <c r="I229" s="14"/>
      <c r="J229" s="18">
        <v>0</v>
      </c>
      <c r="K229" s="14"/>
      <c r="L229" s="18">
        <v>0</v>
      </c>
      <c r="M229" s="14"/>
      <c r="N229" s="18">
        <v>0</v>
      </c>
      <c r="O229" s="14"/>
      <c r="P229" s="18">
        <v>0</v>
      </c>
      <c r="Q229" s="14"/>
      <c r="R229" s="14"/>
      <c r="S229" s="13"/>
      <c r="T229" s="18">
        <v>0</v>
      </c>
      <c r="U229" s="13"/>
      <c r="V229" s="18">
        <v>0</v>
      </c>
      <c r="W229" s="13"/>
      <c r="X229" s="18">
        <v>0</v>
      </c>
      <c r="Y229" s="13"/>
      <c r="Z229" s="18">
        <v>0</v>
      </c>
      <c r="AA229" s="13"/>
      <c r="AB229" s="14"/>
      <c r="AC229" s="13"/>
      <c r="AD229" s="18">
        <v>0</v>
      </c>
      <c r="AE229" s="13"/>
      <c r="AF229" s="18">
        <v>0</v>
      </c>
      <c r="AG229" s="13"/>
      <c r="AH229" s="14"/>
      <c r="AI229" s="13"/>
      <c r="AJ229" s="18">
        <v>0</v>
      </c>
      <c r="AK229" s="13"/>
      <c r="AL229" s="18">
        <v>0</v>
      </c>
      <c r="AM229" s="13"/>
      <c r="AN229" s="13"/>
      <c r="AO229" s="13"/>
      <c r="AP229" s="18">
        <v>0</v>
      </c>
      <c r="AQ229" s="18">
        <v>0</v>
      </c>
      <c r="AR229" s="13"/>
      <c r="AS229" s="13"/>
      <c r="AT229" s="13"/>
      <c r="AU229" s="13"/>
      <c r="AV229" s="13"/>
      <c r="AW229" s="13"/>
      <c r="AX229" s="18">
        <v>0</v>
      </c>
      <c r="AY229" s="13"/>
      <c r="AZ229" s="18">
        <v>0</v>
      </c>
      <c r="BA229" s="13"/>
      <c r="BB229" s="18">
        <v>0</v>
      </c>
      <c r="BC229" s="13"/>
      <c r="BD229" s="18">
        <v>0</v>
      </c>
    </row>
    <row r="230" spans="1:56" hidden="1" outlineLevel="1" x14ac:dyDescent="0.3">
      <c r="A230" s="1"/>
      <c r="B230" s="2">
        <v>15</v>
      </c>
      <c r="C230" s="2">
        <v>5</v>
      </c>
      <c r="D230" s="1" t="s">
        <v>1</v>
      </c>
      <c r="E230" s="13"/>
      <c r="F230" s="16"/>
      <c r="G230" s="14"/>
      <c r="H230" s="14"/>
      <c r="I230" s="14"/>
      <c r="J230" s="15">
        <v>0</v>
      </c>
      <c r="K230" s="14"/>
      <c r="L230" s="15">
        <v>0</v>
      </c>
      <c r="M230" s="14"/>
      <c r="N230" s="15">
        <v>0</v>
      </c>
      <c r="O230" s="14"/>
      <c r="P230" s="15">
        <v>0</v>
      </c>
      <c r="Q230" s="14"/>
      <c r="R230" s="16"/>
      <c r="S230" s="13"/>
      <c r="T230" s="15">
        <v>0</v>
      </c>
      <c r="U230" s="13"/>
      <c r="V230" s="15">
        <v>0</v>
      </c>
      <c r="W230" s="13"/>
      <c r="X230" s="15">
        <v>0</v>
      </c>
      <c r="Y230" s="13"/>
      <c r="Z230" s="15">
        <v>0</v>
      </c>
      <c r="AA230" s="13"/>
      <c r="AB230" s="16"/>
      <c r="AC230" s="13"/>
      <c r="AD230" s="15">
        <v>0</v>
      </c>
      <c r="AE230" s="13"/>
      <c r="AF230" s="15">
        <v>0</v>
      </c>
      <c r="AG230" s="13"/>
      <c r="AH230" s="16"/>
      <c r="AI230" s="13"/>
      <c r="AJ230" s="15">
        <v>0</v>
      </c>
      <c r="AK230" s="13"/>
      <c r="AL230" s="15">
        <v>0</v>
      </c>
      <c r="AM230" s="13"/>
      <c r="AN230" s="13"/>
      <c r="AO230" s="13"/>
      <c r="AP230" s="15">
        <v>0</v>
      </c>
      <c r="AQ230" s="15">
        <v>0</v>
      </c>
      <c r="AR230" s="13"/>
      <c r="AS230" s="13"/>
      <c r="AT230" s="13"/>
      <c r="AU230" s="13"/>
      <c r="AV230" s="13"/>
      <c r="AW230" s="13"/>
      <c r="AX230" s="15">
        <v>0</v>
      </c>
      <c r="AY230" s="13"/>
      <c r="AZ230" s="15">
        <v>0</v>
      </c>
      <c r="BA230" s="13"/>
      <c r="BB230" s="15">
        <v>0</v>
      </c>
      <c r="BC230" s="13"/>
      <c r="BD230" s="15">
        <v>0</v>
      </c>
    </row>
    <row r="231" spans="1:56" hidden="1" outlineLevel="1" x14ac:dyDescent="0.3">
      <c r="A231" s="1"/>
      <c r="B231" s="2">
        <v>4</v>
      </c>
      <c r="C231" s="2">
        <v>1</v>
      </c>
      <c r="D231" s="1" t="s">
        <v>132</v>
      </c>
      <c r="E231" s="13"/>
      <c r="F231" s="14"/>
      <c r="G231" s="14"/>
      <c r="H231" s="14"/>
      <c r="I231" s="14"/>
      <c r="J231" s="18">
        <v>0</v>
      </c>
      <c r="K231" s="14"/>
      <c r="L231" s="18">
        <v>0</v>
      </c>
      <c r="M231" s="14"/>
      <c r="N231" s="18">
        <v>0</v>
      </c>
      <c r="O231" s="14"/>
      <c r="P231" s="18">
        <v>0</v>
      </c>
      <c r="Q231" s="14"/>
      <c r="R231" s="14"/>
      <c r="S231" s="13"/>
      <c r="T231" s="18">
        <v>0</v>
      </c>
      <c r="U231" s="13"/>
      <c r="V231" s="18">
        <v>0</v>
      </c>
      <c r="W231" s="13"/>
      <c r="X231" s="18">
        <v>0</v>
      </c>
      <c r="Y231" s="13"/>
      <c r="Z231" s="18">
        <v>0</v>
      </c>
      <c r="AA231" s="13"/>
      <c r="AB231" s="14"/>
      <c r="AC231" s="13"/>
      <c r="AD231" s="18">
        <v>0</v>
      </c>
      <c r="AE231" s="13"/>
      <c r="AF231" s="18">
        <v>0</v>
      </c>
      <c r="AG231" s="13"/>
      <c r="AH231" s="14"/>
      <c r="AI231" s="13"/>
      <c r="AJ231" s="18">
        <v>0</v>
      </c>
      <c r="AK231" s="13"/>
      <c r="AL231" s="18">
        <v>0</v>
      </c>
      <c r="AM231" s="13"/>
      <c r="AN231" s="13"/>
      <c r="AO231" s="13"/>
      <c r="AP231" s="18">
        <v>0</v>
      </c>
      <c r="AQ231" s="18">
        <v>0</v>
      </c>
      <c r="AR231" s="13"/>
      <c r="AS231" s="13"/>
      <c r="AT231" s="13"/>
      <c r="AU231" s="13"/>
      <c r="AV231" s="13"/>
      <c r="AW231" s="13"/>
      <c r="AX231" s="18">
        <v>0</v>
      </c>
      <c r="AY231" s="13"/>
      <c r="AZ231" s="18">
        <v>0</v>
      </c>
      <c r="BA231" s="13"/>
      <c r="BB231" s="18">
        <v>0</v>
      </c>
      <c r="BC231" s="13"/>
      <c r="BD231" s="18">
        <v>0</v>
      </c>
    </row>
    <row r="232" spans="1:56" hidden="1" outlineLevel="1" x14ac:dyDescent="0.3">
      <c r="A232" s="1"/>
      <c r="B232" s="2">
        <v>0</v>
      </c>
      <c r="C232" s="2">
        <v>0</v>
      </c>
      <c r="D232" s="1" t="s">
        <v>133</v>
      </c>
      <c r="E232" s="13"/>
      <c r="F232" s="14"/>
      <c r="G232" s="14"/>
      <c r="H232" s="14"/>
      <c r="I232" s="14"/>
      <c r="J232" s="18">
        <v>0</v>
      </c>
      <c r="K232" s="14"/>
      <c r="L232" s="18">
        <v>0</v>
      </c>
      <c r="M232" s="14"/>
      <c r="N232" s="18">
        <v>0</v>
      </c>
      <c r="O232" s="14"/>
      <c r="P232" s="18">
        <v>0</v>
      </c>
      <c r="Q232" s="14"/>
      <c r="R232" s="14"/>
      <c r="S232" s="13"/>
      <c r="T232" s="18">
        <v>0</v>
      </c>
      <c r="U232" s="13"/>
      <c r="V232" s="18">
        <v>0</v>
      </c>
      <c r="W232" s="13"/>
      <c r="X232" s="18">
        <v>0</v>
      </c>
      <c r="Y232" s="13"/>
      <c r="Z232" s="18">
        <v>0</v>
      </c>
      <c r="AA232" s="13"/>
      <c r="AB232" s="14"/>
      <c r="AC232" s="13"/>
      <c r="AD232" s="18">
        <v>0</v>
      </c>
      <c r="AE232" s="13"/>
      <c r="AF232" s="18">
        <v>0</v>
      </c>
      <c r="AG232" s="13"/>
      <c r="AH232" s="14"/>
      <c r="AI232" s="13"/>
      <c r="AJ232" s="18">
        <v>0</v>
      </c>
      <c r="AK232" s="13"/>
      <c r="AL232" s="18">
        <v>0</v>
      </c>
      <c r="AM232" s="13"/>
      <c r="AN232" s="13"/>
      <c r="AO232" s="13"/>
      <c r="AP232" s="18">
        <v>0</v>
      </c>
      <c r="AQ232" s="18">
        <v>0</v>
      </c>
      <c r="AR232" s="13"/>
      <c r="AS232" s="13"/>
      <c r="AT232" s="13"/>
      <c r="AU232" s="13"/>
      <c r="AV232" s="13"/>
      <c r="AW232" s="13"/>
      <c r="AX232" s="18">
        <v>0</v>
      </c>
      <c r="AY232" s="13"/>
      <c r="AZ232" s="18">
        <v>0</v>
      </c>
      <c r="BA232" s="13"/>
      <c r="BB232" s="18">
        <v>0</v>
      </c>
      <c r="BC232" s="13"/>
      <c r="BD232" s="18">
        <v>0</v>
      </c>
    </row>
    <row r="233" spans="1:56" collapsed="1" x14ac:dyDescent="0.3">
      <c r="A233" s="3" t="s">
        <v>176</v>
      </c>
      <c r="B233" s="4"/>
      <c r="C233" s="4"/>
      <c r="D233" s="3"/>
      <c r="E233" s="13"/>
      <c r="F233" s="14"/>
      <c r="G233" s="14"/>
      <c r="H233" s="14"/>
      <c r="I233" s="14"/>
      <c r="J233" s="20" t="str">
        <f>BitsTo32Bit(J234:J241)</f>
        <v>01B000F44</v>
      </c>
      <c r="K233" s="14"/>
      <c r="L233" s="20" t="str">
        <f>BitsTo32Bit(L234:L241)</f>
        <v>01B000F43</v>
      </c>
      <c r="M233" s="14"/>
      <c r="N233" s="20" t="str">
        <f>BitsTo32Bit(N234:N241)</f>
        <v>01B000742</v>
      </c>
      <c r="O233" s="14"/>
      <c r="P233" s="20" t="str">
        <f>BitsTo32Bit(P234:P241)</f>
        <v>01F000702</v>
      </c>
      <c r="Q233" s="14"/>
      <c r="R233" s="13"/>
      <c r="S233" s="13"/>
      <c r="T233" s="38" t="str">
        <f>BitsTo32Bit(T234:T241)</f>
        <v>007000735</v>
      </c>
      <c r="U233" s="13"/>
      <c r="V233" s="38" t="str">
        <f>BitsTo32Bit(V234:V241)</f>
        <v>007000734</v>
      </c>
      <c r="W233" s="13"/>
      <c r="X233" s="38" t="str">
        <f>BitsTo32Bit(X234:X241)</f>
        <v>007000F22</v>
      </c>
      <c r="Y233" s="13"/>
      <c r="Z233" s="38" t="str">
        <f>BitsTo32Bit(Z234:Z241)</f>
        <v>007000F24</v>
      </c>
      <c r="AA233" s="13"/>
      <c r="AB233" s="13"/>
      <c r="AC233" s="13"/>
      <c r="AD233" s="38" t="str">
        <f>BitsTo32Bit(AD234:AD241)</f>
        <v>007010F33</v>
      </c>
      <c r="AE233" s="13"/>
      <c r="AF233" s="38" t="str">
        <f>BitsTo32Bit(AF234:AF241)</f>
        <v>007010F33</v>
      </c>
      <c r="AG233" s="13"/>
      <c r="AH233" s="13"/>
      <c r="AI233" s="13"/>
      <c r="AJ233" s="38" t="str">
        <f>BitsTo32Bit(AJ234:AJ241)</f>
        <v>01B000745</v>
      </c>
      <c r="AK233" s="13"/>
      <c r="AL233" s="38" t="str">
        <f>BitsTo32Bit(AL234:AL241)</f>
        <v>007010F44</v>
      </c>
      <c r="AM233" s="13"/>
      <c r="AN233" s="13"/>
      <c r="AO233" s="13"/>
      <c r="AP233" s="38" t="str">
        <f>BitsTo32Bit(AP234:AP241)</f>
        <v>007000734</v>
      </c>
      <c r="AQ233" s="38" t="str">
        <f>BitsTo32Bit(AQ234:AQ241)</f>
        <v>007000734</v>
      </c>
      <c r="AR233" s="13"/>
      <c r="AS233" s="13"/>
      <c r="AT233" s="13"/>
      <c r="AU233" s="13"/>
      <c r="AV233" s="13"/>
      <c r="AW233" s="13"/>
      <c r="AX233" s="20" t="str">
        <f>BitsTo32Bit(AX234:AX241)</f>
        <v>01B000F44</v>
      </c>
      <c r="AY233" s="13"/>
      <c r="AZ233" s="38" t="str">
        <f>BitsTo32Bit(AZ234:AZ241)</f>
        <v>007010F33</v>
      </c>
      <c r="BA233" s="13"/>
      <c r="BB233" s="38" t="str">
        <f>BitsTo32Bit(BB234:BB241)</f>
        <v>007010F33</v>
      </c>
      <c r="BC233" s="13"/>
      <c r="BD233" s="38" t="str">
        <f>BitsTo32Bit(BD234:BD241)</f>
        <v>0</v>
      </c>
    </row>
    <row r="234" spans="1:56" hidden="1" outlineLevel="1" x14ac:dyDescent="0.3">
      <c r="A234" s="3"/>
      <c r="B234" s="4">
        <v>31</v>
      </c>
      <c r="C234" s="4">
        <v>29</v>
      </c>
      <c r="D234" s="3" t="s">
        <v>1</v>
      </c>
      <c r="E234" s="13"/>
      <c r="F234" s="14"/>
      <c r="G234" s="14"/>
      <c r="H234" s="14"/>
      <c r="I234" s="14"/>
      <c r="J234" s="15">
        <v>0</v>
      </c>
      <c r="K234" s="14"/>
      <c r="L234" s="15">
        <v>0</v>
      </c>
      <c r="M234" s="14"/>
      <c r="N234" s="15">
        <v>0</v>
      </c>
      <c r="O234" s="14"/>
      <c r="P234" s="15">
        <v>0</v>
      </c>
      <c r="Q234" s="14"/>
      <c r="R234" s="13"/>
      <c r="S234" s="13"/>
      <c r="T234" s="19">
        <v>0</v>
      </c>
      <c r="U234" s="13"/>
      <c r="V234" s="19">
        <v>0</v>
      </c>
      <c r="W234" s="13"/>
      <c r="X234" s="19">
        <v>0</v>
      </c>
      <c r="Y234" s="13"/>
      <c r="Z234" s="19">
        <v>0</v>
      </c>
      <c r="AA234" s="13"/>
      <c r="AB234" s="13"/>
      <c r="AC234" s="13"/>
      <c r="AD234" s="19">
        <v>0</v>
      </c>
      <c r="AE234" s="13"/>
      <c r="AF234" s="19">
        <v>0</v>
      </c>
      <c r="AG234" s="13"/>
      <c r="AH234" s="40"/>
      <c r="AI234" s="13"/>
      <c r="AJ234" s="19">
        <v>0</v>
      </c>
      <c r="AK234" s="13"/>
      <c r="AL234" s="19">
        <v>0</v>
      </c>
      <c r="AM234" s="13"/>
      <c r="AN234" s="13"/>
      <c r="AO234" s="13"/>
      <c r="AP234" s="39">
        <v>0</v>
      </c>
      <c r="AQ234" s="39">
        <v>0</v>
      </c>
      <c r="AR234" s="13"/>
      <c r="AS234" s="13"/>
      <c r="AT234" s="13"/>
      <c r="AU234" s="13"/>
      <c r="AV234" s="13"/>
      <c r="AW234" s="13"/>
      <c r="AX234" s="15">
        <v>0</v>
      </c>
      <c r="AY234" s="13"/>
      <c r="AZ234" s="19">
        <v>0</v>
      </c>
      <c r="BA234" s="13"/>
      <c r="BB234" s="19">
        <v>0</v>
      </c>
      <c r="BC234" s="13"/>
      <c r="BD234" s="19">
        <v>0</v>
      </c>
    </row>
    <row r="235" spans="1:56" hidden="1" outlineLevel="1" x14ac:dyDescent="0.3">
      <c r="A235" s="3"/>
      <c r="B235" s="4">
        <v>28</v>
      </c>
      <c r="C235" s="4">
        <v>24</v>
      </c>
      <c r="D235" s="3" t="s">
        <v>177</v>
      </c>
      <c r="E235" s="13"/>
      <c r="F235" s="14"/>
      <c r="G235" s="14"/>
      <c r="H235" s="14"/>
      <c r="I235" s="14"/>
      <c r="J235" s="18" t="s">
        <v>209</v>
      </c>
      <c r="K235" s="14"/>
      <c r="L235" s="18" t="s">
        <v>209</v>
      </c>
      <c r="M235" s="14"/>
      <c r="N235" s="18" t="s">
        <v>209</v>
      </c>
      <c r="O235" s="14"/>
      <c r="P235" s="18" t="s">
        <v>175</v>
      </c>
      <c r="Q235" s="14"/>
      <c r="R235" s="13"/>
      <c r="S235" s="13"/>
      <c r="T235" s="39">
        <v>7</v>
      </c>
      <c r="U235" s="13"/>
      <c r="V235" s="39">
        <v>7</v>
      </c>
      <c r="W235" s="13"/>
      <c r="X235" s="39">
        <v>7</v>
      </c>
      <c r="Y235" s="13"/>
      <c r="Z235" s="39">
        <v>7</v>
      </c>
      <c r="AA235" s="13"/>
      <c r="AB235" s="13"/>
      <c r="AC235" s="13"/>
      <c r="AD235" s="39">
        <v>7</v>
      </c>
      <c r="AE235" s="13"/>
      <c r="AF235" s="39">
        <v>7</v>
      </c>
      <c r="AG235" s="13"/>
      <c r="AH235" s="13"/>
      <c r="AI235" s="13"/>
      <c r="AJ235" s="39" t="s">
        <v>209</v>
      </c>
      <c r="AK235" s="13"/>
      <c r="AL235" s="39">
        <v>7</v>
      </c>
      <c r="AM235" s="13"/>
      <c r="AN235" s="13"/>
      <c r="AO235" s="13"/>
      <c r="AP235" s="39">
        <v>7</v>
      </c>
      <c r="AQ235" s="39">
        <v>7</v>
      </c>
      <c r="AR235" s="13"/>
      <c r="AS235" s="13"/>
      <c r="AT235" s="13"/>
      <c r="AU235" s="13"/>
      <c r="AV235" s="13"/>
      <c r="AW235" s="13"/>
      <c r="AX235" s="18" t="s">
        <v>209</v>
      </c>
      <c r="AY235" s="13"/>
      <c r="AZ235" s="39">
        <v>7</v>
      </c>
      <c r="BA235" s="13"/>
      <c r="BB235" s="39">
        <v>7</v>
      </c>
      <c r="BC235" s="13"/>
      <c r="BD235" s="39">
        <v>0</v>
      </c>
    </row>
    <row r="236" spans="1:56" hidden="1" outlineLevel="1" x14ac:dyDescent="0.3">
      <c r="A236" s="3"/>
      <c r="B236" s="4">
        <v>23</v>
      </c>
      <c r="C236" s="4">
        <v>18</v>
      </c>
      <c r="D236" s="3" t="s">
        <v>1</v>
      </c>
      <c r="E236" s="13"/>
      <c r="F236" s="14"/>
      <c r="G236" s="14"/>
      <c r="H236" s="14"/>
      <c r="I236" s="14"/>
      <c r="J236" s="15">
        <v>0</v>
      </c>
      <c r="K236" s="14"/>
      <c r="L236" s="15">
        <v>0</v>
      </c>
      <c r="M236" s="14"/>
      <c r="N236" s="15">
        <v>0</v>
      </c>
      <c r="O236" s="14"/>
      <c r="P236" s="15">
        <v>0</v>
      </c>
      <c r="Q236" s="14"/>
      <c r="R236" s="13"/>
      <c r="S236" s="13"/>
      <c r="T236" s="19">
        <v>0</v>
      </c>
      <c r="U236" s="13"/>
      <c r="V236" s="19">
        <v>0</v>
      </c>
      <c r="W236" s="13"/>
      <c r="X236" s="19">
        <v>0</v>
      </c>
      <c r="Y236" s="13"/>
      <c r="Z236" s="19">
        <v>0</v>
      </c>
      <c r="AA236" s="13"/>
      <c r="AB236" s="13"/>
      <c r="AC236" s="13"/>
      <c r="AD236" s="19">
        <v>0</v>
      </c>
      <c r="AE236" s="13"/>
      <c r="AF236" s="19">
        <v>0</v>
      </c>
      <c r="AG236" s="13"/>
      <c r="AH236" s="40"/>
      <c r="AI236" s="13"/>
      <c r="AJ236" s="19">
        <v>0</v>
      </c>
      <c r="AK236" s="13"/>
      <c r="AL236" s="19">
        <v>0</v>
      </c>
      <c r="AM236" s="13"/>
      <c r="AN236" s="13"/>
      <c r="AO236" s="13"/>
      <c r="AP236" s="39">
        <v>0</v>
      </c>
      <c r="AQ236" s="39">
        <v>0</v>
      </c>
      <c r="AR236" s="13"/>
      <c r="AS236" s="13"/>
      <c r="AT236" s="13"/>
      <c r="AU236" s="13"/>
      <c r="AV236" s="13"/>
      <c r="AW236" s="13"/>
      <c r="AX236" s="15">
        <v>0</v>
      </c>
      <c r="AY236" s="13"/>
      <c r="AZ236" s="19">
        <v>0</v>
      </c>
      <c r="BA236" s="13"/>
      <c r="BB236" s="19">
        <v>0</v>
      </c>
      <c r="BC236" s="13"/>
      <c r="BD236" s="19">
        <v>0</v>
      </c>
    </row>
    <row r="237" spans="1:56" hidden="1" outlineLevel="1" x14ac:dyDescent="0.3">
      <c r="A237" s="3"/>
      <c r="B237" s="4">
        <v>17</v>
      </c>
      <c r="C237" s="4">
        <v>17</v>
      </c>
      <c r="D237" s="3" t="s">
        <v>178</v>
      </c>
      <c r="E237" s="13"/>
      <c r="F237" s="14"/>
      <c r="G237" s="14"/>
      <c r="H237" s="14"/>
      <c r="I237" s="14"/>
      <c r="J237" s="18">
        <v>0</v>
      </c>
      <c r="K237" s="14"/>
      <c r="L237" s="18">
        <v>0</v>
      </c>
      <c r="M237" s="14"/>
      <c r="N237" s="18">
        <v>0</v>
      </c>
      <c r="O237" s="14"/>
      <c r="P237" s="18">
        <v>0</v>
      </c>
      <c r="Q237" s="14"/>
      <c r="R237" s="13"/>
      <c r="S237" s="13"/>
      <c r="T237" s="39">
        <v>0</v>
      </c>
      <c r="U237" s="13"/>
      <c r="V237" s="39">
        <v>0</v>
      </c>
      <c r="W237" s="13"/>
      <c r="X237" s="39">
        <v>0</v>
      </c>
      <c r="Y237" s="13"/>
      <c r="Z237" s="39">
        <v>0</v>
      </c>
      <c r="AA237" s="13"/>
      <c r="AB237" s="13"/>
      <c r="AC237" s="13"/>
      <c r="AD237" s="39">
        <v>0</v>
      </c>
      <c r="AE237" s="13"/>
      <c r="AF237" s="39">
        <v>0</v>
      </c>
      <c r="AG237" s="13"/>
      <c r="AH237" s="13"/>
      <c r="AI237" s="13"/>
      <c r="AJ237" s="39">
        <v>0</v>
      </c>
      <c r="AK237" s="13"/>
      <c r="AL237" s="39">
        <v>0</v>
      </c>
      <c r="AM237" s="13"/>
      <c r="AN237" s="13"/>
      <c r="AO237" s="13"/>
      <c r="AP237" s="39">
        <v>0</v>
      </c>
      <c r="AQ237" s="39">
        <v>0</v>
      </c>
      <c r="AR237" s="13"/>
      <c r="AS237" s="13"/>
      <c r="AT237" s="13"/>
      <c r="AU237" s="13"/>
      <c r="AV237" s="13"/>
      <c r="AW237" s="13"/>
      <c r="AX237" s="18">
        <v>0</v>
      </c>
      <c r="AY237" s="13"/>
      <c r="AZ237" s="39">
        <v>0</v>
      </c>
      <c r="BA237" s="13"/>
      <c r="BB237" s="39">
        <v>0</v>
      </c>
      <c r="BC237" s="13"/>
      <c r="BD237" s="39">
        <v>0</v>
      </c>
    </row>
    <row r="238" spans="1:56" hidden="1" outlineLevel="1" x14ac:dyDescent="0.3">
      <c r="A238" s="3"/>
      <c r="B238" s="4">
        <v>16</v>
      </c>
      <c r="C238" s="4">
        <v>12</v>
      </c>
      <c r="D238" s="3" t="s">
        <v>1</v>
      </c>
      <c r="E238" s="13"/>
      <c r="F238" s="14"/>
      <c r="G238" s="14"/>
      <c r="H238" s="14"/>
      <c r="I238" s="14"/>
      <c r="J238" s="15">
        <v>0</v>
      </c>
      <c r="K238" s="14"/>
      <c r="L238" s="15">
        <v>0</v>
      </c>
      <c r="M238" s="14"/>
      <c r="N238" s="15">
        <v>0</v>
      </c>
      <c r="O238" s="14"/>
      <c r="P238" s="15">
        <v>0</v>
      </c>
      <c r="Q238" s="14"/>
      <c r="R238" s="13"/>
      <c r="S238" s="13"/>
      <c r="T238" s="19">
        <v>0</v>
      </c>
      <c r="U238" s="13"/>
      <c r="V238" s="19">
        <v>0</v>
      </c>
      <c r="W238" s="13"/>
      <c r="X238" s="19">
        <v>0</v>
      </c>
      <c r="Y238" s="13"/>
      <c r="Z238" s="19">
        <v>0</v>
      </c>
      <c r="AA238" s="13"/>
      <c r="AB238" s="13"/>
      <c r="AC238" s="13"/>
      <c r="AD238" s="19">
        <v>10</v>
      </c>
      <c r="AE238" s="13"/>
      <c r="AF238" s="19">
        <v>10</v>
      </c>
      <c r="AG238" s="13"/>
      <c r="AH238" s="40"/>
      <c r="AI238" s="13"/>
      <c r="AJ238" s="19">
        <v>0</v>
      </c>
      <c r="AK238" s="13"/>
      <c r="AL238" s="19">
        <v>10</v>
      </c>
      <c r="AM238" s="13"/>
      <c r="AN238" s="13"/>
      <c r="AO238" s="13"/>
      <c r="AP238" s="39">
        <v>0</v>
      </c>
      <c r="AQ238" s="39">
        <v>0</v>
      </c>
      <c r="AR238" s="13"/>
      <c r="AS238" s="13"/>
      <c r="AT238" s="13"/>
      <c r="AU238" s="13"/>
      <c r="AV238" s="13"/>
      <c r="AW238" s="13"/>
      <c r="AX238" s="15">
        <v>0</v>
      </c>
      <c r="AY238" s="13"/>
      <c r="AZ238" s="19">
        <v>10</v>
      </c>
      <c r="BA238" s="13"/>
      <c r="BB238" s="19">
        <v>10</v>
      </c>
      <c r="BC238" s="13"/>
      <c r="BD238" s="19">
        <v>0</v>
      </c>
    </row>
    <row r="239" spans="1:56" hidden="1" outlineLevel="1" x14ac:dyDescent="0.3">
      <c r="A239" s="3"/>
      <c r="B239" s="4">
        <v>11</v>
      </c>
      <c r="C239" s="4">
        <v>8</v>
      </c>
      <c r="D239" s="3" t="s">
        <v>179</v>
      </c>
      <c r="E239" s="13"/>
      <c r="F239" s="14"/>
      <c r="G239" s="14"/>
      <c r="H239" s="14"/>
      <c r="I239" s="14"/>
      <c r="J239" s="18" t="s">
        <v>117</v>
      </c>
      <c r="K239" s="14"/>
      <c r="L239" s="18" t="s">
        <v>117</v>
      </c>
      <c r="M239" s="14"/>
      <c r="N239" s="18">
        <v>7</v>
      </c>
      <c r="O239" s="14"/>
      <c r="P239" s="18">
        <v>7</v>
      </c>
      <c r="Q239" s="14"/>
      <c r="R239" s="13"/>
      <c r="S239" s="13"/>
      <c r="T239" s="39">
        <v>7</v>
      </c>
      <c r="U239" s="13"/>
      <c r="V239" s="39">
        <v>7</v>
      </c>
      <c r="W239" s="13"/>
      <c r="X239" s="39" t="s">
        <v>117</v>
      </c>
      <c r="Y239" s="13"/>
      <c r="Z239" s="39" t="s">
        <v>117</v>
      </c>
      <c r="AA239" s="13"/>
      <c r="AB239" s="13"/>
      <c r="AC239" s="13"/>
      <c r="AD239" s="39" t="s">
        <v>117</v>
      </c>
      <c r="AE239" s="13"/>
      <c r="AF239" s="39" t="s">
        <v>117</v>
      </c>
      <c r="AG239" s="13"/>
      <c r="AH239" s="13"/>
      <c r="AI239" s="13"/>
      <c r="AJ239" s="39">
        <v>7</v>
      </c>
      <c r="AK239" s="13"/>
      <c r="AL239" s="39" t="s">
        <v>117</v>
      </c>
      <c r="AM239" s="13"/>
      <c r="AN239" s="13"/>
      <c r="AO239" s="13"/>
      <c r="AP239" s="39">
        <v>7</v>
      </c>
      <c r="AQ239" s="39">
        <v>7</v>
      </c>
      <c r="AR239" s="13"/>
      <c r="AS239" s="13"/>
      <c r="AT239" s="13"/>
      <c r="AU239" s="13"/>
      <c r="AV239" s="13"/>
      <c r="AW239" s="13"/>
      <c r="AX239" s="18" t="s">
        <v>117</v>
      </c>
      <c r="AY239" s="13"/>
      <c r="AZ239" s="39" t="s">
        <v>117</v>
      </c>
      <c r="BA239" s="13"/>
      <c r="BB239" s="39" t="s">
        <v>117</v>
      </c>
      <c r="BC239" s="13"/>
      <c r="BD239" s="39">
        <v>0</v>
      </c>
    </row>
    <row r="240" spans="1:56" hidden="1" outlineLevel="1" x14ac:dyDescent="0.3">
      <c r="A240" s="3"/>
      <c r="B240" s="4">
        <v>7</v>
      </c>
      <c r="C240" s="4">
        <v>4</v>
      </c>
      <c r="D240" s="3" t="s">
        <v>180</v>
      </c>
      <c r="E240" s="13"/>
      <c r="F240" s="14"/>
      <c r="G240" s="14"/>
      <c r="H240" s="14"/>
      <c r="I240" s="14"/>
      <c r="J240" s="18">
        <v>4</v>
      </c>
      <c r="K240" s="14"/>
      <c r="L240" s="18">
        <v>4</v>
      </c>
      <c r="M240" s="14"/>
      <c r="N240" s="18">
        <v>4</v>
      </c>
      <c r="O240" s="14"/>
      <c r="P240" s="18">
        <v>0</v>
      </c>
      <c r="Q240" s="14"/>
      <c r="R240" s="13"/>
      <c r="S240" s="13"/>
      <c r="T240" s="39">
        <v>3</v>
      </c>
      <c r="U240" s="13"/>
      <c r="V240" s="39">
        <v>3</v>
      </c>
      <c r="W240" s="13"/>
      <c r="X240" s="39">
        <v>2</v>
      </c>
      <c r="Y240" s="13"/>
      <c r="Z240" s="39">
        <v>2</v>
      </c>
      <c r="AA240" s="13"/>
      <c r="AB240" s="13"/>
      <c r="AC240" s="13"/>
      <c r="AD240" s="39">
        <v>3</v>
      </c>
      <c r="AE240" s="13"/>
      <c r="AF240" s="39">
        <v>3</v>
      </c>
      <c r="AG240" s="13"/>
      <c r="AH240" s="13"/>
      <c r="AI240" s="13"/>
      <c r="AJ240" s="39">
        <v>4</v>
      </c>
      <c r="AK240" s="13"/>
      <c r="AL240" s="39">
        <v>4</v>
      </c>
      <c r="AM240" s="13"/>
      <c r="AN240" s="13"/>
      <c r="AO240" s="13"/>
      <c r="AP240" s="39">
        <v>3</v>
      </c>
      <c r="AQ240" s="39">
        <v>3</v>
      </c>
      <c r="AR240" s="13"/>
      <c r="AS240" s="13"/>
      <c r="AT240" s="13"/>
      <c r="AU240" s="13"/>
      <c r="AV240" s="13"/>
      <c r="AW240" s="13"/>
      <c r="AX240" s="18">
        <v>4</v>
      </c>
      <c r="AY240" s="13"/>
      <c r="AZ240" s="39">
        <v>3</v>
      </c>
      <c r="BA240" s="13"/>
      <c r="BB240" s="39">
        <v>3</v>
      </c>
      <c r="BC240" s="13"/>
      <c r="BD240" s="39">
        <v>0</v>
      </c>
    </row>
    <row r="241" spans="1:56" ht="15" hidden="1" customHeight="1" outlineLevel="1" x14ac:dyDescent="0.3">
      <c r="A241" s="3"/>
      <c r="B241" s="4">
        <v>3</v>
      </c>
      <c r="C241" s="4">
        <v>0</v>
      </c>
      <c r="D241" s="3" t="s">
        <v>181</v>
      </c>
      <c r="E241" s="13"/>
      <c r="F241" s="14"/>
      <c r="G241" s="14"/>
      <c r="H241" s="14"/>
      <c r="I241" s="14"/>
      <c r="J241" s="18">
        <v>4</v>
      </c>
      <c r="K241" s="14"/>
      <c r="L241" s="18">
        <v>3</v>
      </c>
      <c r="M241" s="14"/>
      <c r="N241" s="18">
        <v>2</v>
      </c>
      <c r="O241" s="14"/>
      <c r="P241" s="18">
        <v>2</v>
      </c>
      <c r="Q241" s="14"/>
      <c r="R241" s="13"/>
      <c r="S241" s="13"/>
      <c r="T241" s="39">
        <v>5</v>
      </c>
      <c r="U241" s="13"/>
      <c r="V241" s="39">
        <v>4</v>
      </c>
      <c r="W241" s="13"/>
      <c r="X241" s="39">
        <v>2</v>
      </c>
      <c r="Y241" s="13"/>
      <c r="Z241" s="39">
        <v>4</v>
      </c>
      <c r="AA241" s="13"/>
      <c r="AB241" s="13"/>
      <c r="AC241" s="13"/>
      <c r="AD241" s="39">
        <v>3</v>
      </c>
      <c r="AE241" s="13"/>
      <c r="AF241" s="39">
        <v>3</v>
      </c>
      <c r="AG241" s="13"/>
      <c r="AH241" s="13"/>
      <c r="AI241" s="13"/>
      <c r="AJ241" s="39">
        <v>5</v>
      </c>
      <c r="AK241" s="13"/>
      <c r="AL241" s="39">
        <v>4</v>
      </c>
      <c r="AM241" s="13"/>
      <c r="AN241" s="13"/>
      <c r="AO241" s="13"/>
      <c r="AP241" s="39">
        <v>4</v>
      </c>
      <c r="AQ241" s="39">
        <v>4</v>
      </c>
      <c r="AR241" s="13"/>
      <c r="AS241" s="13"/>
      <c r="AT241" s="13"/>
      <c r="AU241" s="13"/>
      <c r="AV241" s="13"/>
      <c r="AW241" s="13"/>
      <c r="AX241" s="18">
        <v>4</v>
      </c>
      <c r="AY241" s="13"/>
      <c r="AZ241" s="39">
        <v>3</v>
      </c>
      <c r="BA241" s="13"/>
      <c r="BB241" s="39">
        <v>3</v>
      </c>
      <c r="BC241" s="13"/>
      <c r="BD241" s="39">
        <v>0</v>
      </c>
    </row>
    <row r="242" spans="1:56" ht="15" customHeight="1" collapsed="1" x14ac:dyDescent="0.3">
      <c r="A242" s="3" t="s">
        <v>182</v>
      </c>
      <c r="B242" s="4"/>
      <c r="C242" s="4"/>
      <c r="D242" s="3"/>
      <c r="E242" s="13"/>
      <c r="F242" s="14"/>
      <c r="G242" s="14"/>
      <c r="H242" s="14"/>
      <c r="I242" s="14"/>
      <c r="J242" s="20" t="str">
        <f>BitsTo32Bit(J243:J250)</f>
        <v>0230104</v>
      </c>
      <c r="K242" s="14"/>
      <c r="L242" s="20" t="str">
        <f>BitsTo32Bit(L243:L250)</f>
        <v>0100105</v>
      </c>
      <c r="M242" s="14"/>
      <c r="N242" s="20" t="str">
        <f>BitsTo32Bit(N243:N250)</f>
        <v>060106</v>
      </c>
      <c r="O242" s="14"/>
      <c r="P242" s="20" t="str">
        <f>BitsTo32Bit(P243:P250)</f>
        <v>030107</v>
      </c>
      <c r="Q242" s="14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20" t="str">
        <f>BitsTo32Bit(AJ243:AJ250)</f>
        <v>43</v>
      </c>
      <c r="AK242" s="13"/>
      <c r="AL242" s="20" t="str">
        <f>BitsTo32Bit(AL243:AL250)</f>
        <v>43</v>
      </c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20" t="str">
        <f>BitsTo32Bit(AX243:AX250)</f>
        <v>0230104</v>
      </c>
      <c r="AY242" s="13"/>
      <c r="AZ242" s="20" t="str">
        <f>BitsTo32Bit(AZ243:AZ250)</f>
        <v>15</v>
      </c>
      <c r="BA242" s="13"/>
      <c r="BB242" s="20" t="str">
        <f>BitsTo32Bit(BB243:BB250)</f>
        <v>16</v>
      </c>
      <c r="BC242" s="13"/>
      <c r="BD242" s="20" t="str">
        <f>BitsTo32Bit(BD243:BD250)</f>
        <v>0</v>
      </c>
    </row>
    <row r="243" spans="1:56" ht="15" hidden="1" customHeight="1" outlineLevel="1" x14ac:dyDescent="0.3">
      <c r="A243" s="3"/>
      <c r="B243" s="4">
        <v>31</v>
      </c>
      <c r="C243" s="4">
        <v>24</v>
      </c>
      <c r="D243" s="3" t="s">
        <v>1</v>
      </c>
      <c r="E243" s="13"/>
      <c r="F243" s="14"/>
      <c r="G243" s="14"/>
      <c r="H243" s="14"/>
      <c r="I243" s="14"/>
      <c r="J243" s="15">
        <v>0</v>
      </c>
      <c r="K243" s="14"/>
      <c r="L243" s="15">
        <v>0</v>
      </c>
      <c r="M243" s="14"/>
      <c r="N243" s="15">
        <v>0</v>
      </c>
      <c r="O243" s="14"/>
      <c r="P243" s="15">
        <v>0</v>
      </c>
      <c r="Q243" s="14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8">
        <v>0</v>
      </c>
      <c r="AK243" s="13"/>
      <c r="AL243" s="18">
        <v>0</v>
      </c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5">
        <v>0</v>
      </c>
      <c r="AY243" s="13"/>
      <c r="AZ243" s="15">
        <v>0</v>
      </c>
      <c r="BA243" s="13"/>
      <c r="BB243" s="15">
        <v>0</v>
      </c>
      <c r="BC243" s="13"/>
      <c r="BD243" s="15">
        <v>0</v>
      </c>
    </row>
    <row r="244" spans="1:56" ht="15" hidden="1" customHeight="1" outlineLevel="1" x14ac:dyDescent="0.3">
      <c r="A244" s="3"/>
      <c r="B244" s="4">
        <v>23</v>
      </c>
      <c r="C244" s="4">
        <v>16</v>
      </c>
      <c r="D244" s="3" t="s">
        <v>183</v>
      </c>
      <c r="E244" s="13"/>
      <c r="F244" s="14"/>
      <c r="G244" s="14"/>
      <c r="H244" s="14"/>
      <c r="I244" s="14"/>
      <c r="J244" s="18">
        <v>23</v>
      </c>
      <c r="K244" s="14"/>
      <c r="L244" s="18">
        <v>10</v>
      </c>
      <c r="M244" s="14"/>
      <c r="N244" s="18">
        <v>6</v>
      </c>
      <c r="O244" s="14"/>
      <c r="P244" s="18">
        <v>3</v>
      </c>
      <c r="Q244" s="14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8">
        <v>0</v>
      </c>
      <c r="AK244" s="13"/>
      <c r="AL244" s="18">
        <v>0</v>
      </c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8">
        <v>23</v>
      </c>
      <c r="AY244" s="13"/>
      <c r="AZ244" s="18">
        <v>0</v>
      </c>
      <c r="BA244" s="13"/>
      <c r="BB244" s="18">
        <v>0</v>
      </c>
      <c r="BC244" s="13"/>
      <c r="BD244" s="18">
        <v>0</v>
      </c>
    </row>
    <row r="245" spans="1:56" ht="15" hidden="1" customHeight="1" outlineLevel="1" x14ac:dyDescent="0.3">
      <c r="A245" s="3"/>
      <c r="B245" s="4">
        <v>15</v>
      </c>
      <c r="C245" s="4">
        <v>9</v>
      </c>
      <c r="D245" s="3" t="s">
        <v>1</v>
      </c>
      <c r="E245" s="13"/>
      <c r="F245" s="14"/>
      <c r="G245" s="14"/>
      <c r="H245" s="14"/>
      <c r="I245" s="14"/>
      <c r="J245" s="15">
        <v>0</v>
      </c>
      <c r="K245" s="14"/>
      <c r="L245" s="15">
        <v>0</v>
      </c>
      <c r="M245" s="14"/>
      <c r="N245" s="15">
        <v>0</v>
      </c>
      <c r="O245" s="14"/>
      <c r="P245" s="15">
        <v>0</v>
      </c>
      <c r="Q245" s="14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8">
        <v>0</v>
      </c>
      <c r="AK245" s="13"/>
      <c r="AL245" s="18">
        <v>0</v>
      </c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5">
        <v>0</v>
      </c>
      <c r="AY245" s="13"/>
      <c r="AZ245" s="15">
        <v>0</v>
      </c>
      <c r="BA245" s="13"/>
      <c r="BB245" s="15">
        <v>0</v>
      </c>
      <c r="BC245" s="13"/>
      <c r="BD245" s="15">
        <v>0</v>
      </c>
    </row>
    <row r="246" spans="1:56" ht="15" hidden="1" customHeight="1" outlineLevel="1" x14ac:dyDescent="0.3">
      <c r="A246" s="3"/>
      <c r="B246" s="4">
        <v>8</v>
      </c>
      <c r="C246" s="4">
        <v>8</v>
      </c>
      <c r="D246" s="3" t="s">
        <v>184</v>
      </c>
      <c r="E246" s="13"/>
      <c r="F246" s="14"/>
      <c r="G246" s="14"/>
      <c r="H246" s="14"/>
      <c r="I246" s="14"/>
      <c r="J246" s="15">
        <v>1</v>
      </c>
      <c r="K246" s="14"/>
      <c r="L246" s="15">
        <v>1</v>
      </c>
      <c r="M246" s="14"/>
      <c r="N246" s="15">
        <v>1</v>
      </c>
      <c r="O246" s="14"/>
      <c r="P246" s="15">
        <v>1</v>
      </c>
      <c r="Q246" s="14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8">
        <v>0</v>
      </c>
      <c r="AK246" s="13"/>
      <c r="AL246" s="18">
        <v>0</v>
      </c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5">
        <v>1</v>
      </c>
      <c r="AY246" s="13"/>
      <c r="AZ246" s="15">
        <v>0</v>
      </c>
      <c r="BA246" s="13"/>
      <c r="BB246" s="15">
        <v>0</v>
      </c>
      <c r="BC246" s="13"/>
      <c r="BD246" s="15">
        <v>0</v>
      </c>
    </row>
    <row r="247" spans="1:56" ht="15" hidden="1" customHeight="1" outlineLevel="1" x14ac:dyDescent="0.3">
      <c r="A247" s="3"/>
      <c r="B247" s="4">
        <v>7</v>
      </c>
      <c r="C247" s="4">
        <v>7</v>
      </c>
      <c r="D247" s="3" t="s">
        <v>185</v>
      </c>
      <c r="E247" s="13"/>
      <c r="F247" s="14"/>
      <c r="G247" s="14"/>
      <c r="H247" s="14"/>
      <c r="I247" s="14"/>
      <c r="J247" s="15">
        <v>0</v>
      </c>
      <c r="K247" s="14"/>
      <c r="L247" s="15">
        <v>0</v>
      </c>
      <c r="M247" s="14"/>
      <c r="N247" s="15">
        <v>0</v>
      </c>
      <c r="O247" s="14"/>
      <c r="P247" s="15">
        <v>0</v>
      </c>
      <c r="Q247" s="14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8">
        <v>0</v>
      </c>
      <c r="AK247" s="13"/>
      <c r="AL247" s="18">
        <v>0</v>
      </c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5">
        <v>0</v>
      </c>
      <c r="AY247" s="13"/>
      <c r="AZ247" s="15">
        <v>0</v>
      </c>
      <c r="BA247" s="13"/>
      <c r="BB247" s="15">
        <v>0</v>
      </c>
      <c r="BC247" s="13"/>
      <c r="BD247" s="15">
        <v>0</v>
      </c>
    </row>
    <row r="248" spans="1:56" ht="15" hidden="1" customHeight="1" outlineLevel="1" x14ac:dyDescent="0.3">
      <c r="A248" s="3"/>
      <c r="B248" s="4">
        <v>6</v>
      </c>
      <c r="C248" s="4">
        <v>4</v>
      </c>
      <c r="D248" s="3" t="s">
        <v>186</v>
      </c>
      <c r="E248" s="13"/>
      <c r="F248" s="14"/>
      <c r="G248" s="14"/>
      <c r="H248" s="14"/>
      <c r="I248" s="14"/>
      <c r="J248" s="15">
        <v>0</v>
      </c>
      <c r="K248" s="14"/>
      <c r="L248" s="15">
        <v>0</v>
      </c>
      <c r="M248" s="14"/>
      <c r="N248" s="15">
        <v>0</v>
      </c>
      <c r="O248" s="14"/>
      <c r="P248" s="15">
        <v>0</v>
      </c>
      <c r="Q248" s="14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8">
        <v>4</v>
      </c>
      <c r="AK248" s="13"/>
      <c r="AL248" s="18">
        <v>4</v>
      </c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5">
        <v>0</v>
      </c>
      <c r="AY248" s="13"/>
      <c r="AZ248" s="15">
        <v>1</v>
      </c>
      <c r="BA248" s="13"/>
      <c r="BB248" s="15">
        <v>1</v>
      </c>
      <c r="BC248" s="13"/>
      <c r="BD248" s="15">
        <v>0</v>
      </c>
    </row>
    <row r="249" spans="1:56" ht="15" hidden="1" customHeight="1" outlineLevel="1" x14ac:dyDescent="0.3">
      <c r="A249" s="3"/>
      <c r="B249" s="4">
        <v>3</v>
      </c>
      <c r="C249" s="4">
        <v>3</v>
      </c>
      <c r="D249" s="3" t="s">
        <v>187</v>
      </c>
      <c r="E249" s="13"/>
      <c r="F249" s="14"/>
      <c r="G249" s="14"/>
      <c r="H249" s="14"/>
      <c r="I249" s="14"/>
      <c r="J249" s="15">
        <v>0</v>
      </c>
      <c r="K249" s="14"/>
      <c r="L249" s="15">
        <v>0</v>
      </c>
      <c r="M249" s="14"/>
      <c r="N249" s="15">
        <v>0</v>
      </c>
      <c r="O249" s="14"/>
      <c r="P249" s="15">
        <v>0</v>
      </c>
      <c r="Q249" s="14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8">
        <v>0</v>
      </c>
      <c r="AK249" s="13"/>
      <c r="AL249" s="18">
        <v>0</v>
      </c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5">
        <v>0</v>
      </c>
      <c r="AY249" s="13"/>
      <c r="AZ249" s="15">
        <v>0</v>
      </c>
      <c r="BA249" s="13"/>
      <c r="BB249" s="15">
        <v>0</v>
      </c>
      <c r="BC249" s="13"/>
      <c r="BD249" s="15">
        <v>0</v>
      </c>
    </row>
    <row r="250" spans="1:56" ht="15" hidden="1" customHeight="1" outlineLevel="1" x14ac:dyDescent="0.3">
      <c r="A250" s="3"/>
      <c r="B250" s="4">
        <v>2</v>
      </c>
      <c r="C250" s="4">
        <v>0</v>
      </c>
      <c r="D250" s="3" t="s">
        <v>188</v>
      </c>
      <c r="E250" s="13"/>
      <c r="F250" s="14"/>
      <c r="G250" s="14"/>
      <c r="H250" s="14"/>
      <c r="I250" s="14"/>
      <c r="J250" s="15">
        <v>4</v>
      </c>
      <c r="K250" s="14"/>
      <c r="L250" s="15">
        <v>5</v>
      </c>
      <c r="M250" s="14"/>
      <c r="N250" s="15">
        <v>6</v>
      </c>
      <c r="O250" s="14"/>
      <c r="P250" s="15">
        <v>7</v>
      </c>
      <c r="Q250" s="14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8">
        <v>3</v>
      </c>
      <c r="AK250" s="13"/>
      <c r="AL250" s="18">
        <v>3</v>
      </c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5">
        <v>4</v>
      </c>
      <c r="AY250" s="13"/>
      <c r="AZ250" s="15">
        <v>5</v>
      </c>
      <c r="BA250" s="13"/>
      <c r="BB250" s="15">
        <v>6</v>
      </c>
      <c r="BC250" s="13"/>
      <c r="BD250" s="15">
        <v>0</v>
      </c>
    </row>
    <row r="251" spans="1:56" ht="15" customHeight="1" collapsed="1" x14ac:dyDescent="0.3">
      <c r="A251" s="3" t="s">
        <v>189</v>
      </c>
      <c r="B251" s="4"/>
      <c r="C251" s="4"/>
      <c r="D251" s="3"/>
      <c r="E251" s="13"/>
      <c r="F251" s="14"/>
      <c r="G251" s="14"/>
      <c r="H251" s="14"/>
      <c r="I251" s="14"/>
      <c r="J251" s="20" t="str">
        <f>BitsTo32Bit(J252:J259)</f>
        <v>0230104</v>
      </c>
      <c r="K251" s="14"/>
      <c r="L251" s="20" t="str">
        <f>BitsTo32Bit(L252:L259)</f>
        <v>0100105</v>
      </c>
      <c r="M251" s="14"/>
      <c r="N251" s="20" t="str">
        <f>BitsTo32Bit(N252:N259)</f>
        <v>060106</v>
      </c>
      <c r="O251" s="14"/>
      <c r="P251" s="20" t="str">
        <f>BitsTo32Bit(P252:P259)</f>
        <v>030107</v>
      </c>
      <c r="Q251" s="14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20" t="str">
        <f>BitsTo32Bit(AJ252:AJ259)</f>
        <v>4</v>
      </c>
      <c r="AK251" s="13"/>
      <c r="AL251" s="20" t="str">
        <f>BitsTo32Bit(AL252:AL259)</f>
        <v>4</v>
      </c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20" t="str">
        <f>BitsTo32Bit(AX252:AX259)</f>
        <v>0260104</v>
      </c>
      <c r="AY251" s="13"/>
      <c r="AZ251" s="13"/>
      <c r="BA251" s="13"/>
      <c r="BB251" s="13"/>
      <c r="BC251" s="13"/>
      <c r="BD251" s="20" t="str">
        <f>BitsTo32Bit(BD252:BD259)</f>
        <v>0</v>
      </c>
    </row>
    <row r="252" spans="1:56" ht="15" hidden="1" customHeight="1" outlineLevel="1" x14ac:dyDescent="0.3">
      <c r="A252" s="3"/>
      <c r="B252" s="4">
        <v>31</v>
      </c>
      <c r="C252" s="4">
        <v>24</v>
      </c>
      <c r="D252" s="3" t="s">
        <v>1</v>
      </c>
      <c r="E252" s="13"/>
      <c r="F252" s="14"/>
      <c r="G252" s="14"/>
      <c r="H252" s="14"/>
      <c r="I252" s="14"/>
      <c r="J252" s="15">
        <v>0</v>
      </c>
      <c r="K252" s="14"/>
      <c r="L252" s="15">
        <v>0</v>
      </c>
      <c r="M252" s="14"/>
      <c r="N252" s="15">
        <v>0</v>
      </c>
      <c r="O252" s="14"/>
      <c r="P252" s="15">
        <v>0</v>
      </c>
      <c r="Q252" s="14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8">
        <v>0</v>
      </c>
      <c r="AK252" s="13"/>
      <c r="AL252" s="18">
        <v>0</v>
      </c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8">
        <v>0</v>
      </c>
      <c r="AY252" s="13"/>
      <c r="AZ252" s="13"/>
      <c r="BA252" s="13"/>
      <c r="BB252" s="13"/>
      <c r="BC252" s="13"/>
      <c r="BD252" s="18">
        <v>0</v>
      </c>
    </row>
    <row r="253" spans="1:56" ht="15" hidden="1" customHeight="1" outlineLevel="1" x14ac:dyDescent="0.3">
      <c r="A253" s="3"/>
      <c r="B253" s="4">
        <v>23</v>
      </c>
      <c r="C253" s="4">
        <v>16</v>
      </c>
      <c r="D253" s="3" t="s">
        <v>190</v>
      </c>
      <c r="E253" s="13"/>
      <c r="F253" s="14"/>
      <c r="G253" s="14"/>
      <c r="H253" s="14"/>
      <c r="I253" s="14"/>
      <c r="J253" s="18">
        <v>23</v>
      </c>
      <c r="K253" s="14"/>
      <c r="L253" s="18">
        <v>10</v>
      </c>
      <c r="M253" s="14"/>
      <c r="N253" s="18">
        <v>6</v>
      </c>
      <c r="O253" s="14"/>
      <c r="P253" s="18">
        <v>3</v>
      </c>
      <c r="Q253" s="14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8">
        <v>0</v>
      </c>
      <c r="AK253" s="13"/>
      <c r="AL253" s="18">
        <v>0</v>
      </c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8">
        <v>26</v>
      </c>
      <c r="AY253" s="13"/>
      <c r="AZ253" s="13"/>
      <c r="BA253" s="13"/>
      <c r="BB253" s="13"/>
      <c r="BC253" s="13"/>
      <c r="BD253" s="18">
        <v>0</v>
      </c>
    </row>
    <row r="254" spans="1:56" ht="15" hidden="1" customHeight="1" outlineLevel="1" x14ac:dyDescent="0.3">
      <c r="A254" s="3"/>
      <c r="B254" s="4">
        <v>15</v>
      </c>
      <c r="C254" s="4">
        <v>9</v>
      </c>
      <c r="D254" s="3" t="s">
        <v>1</v>
      </c>
      <c r="E254" s="13"/>
      <c r="F254" s="14"/>
      <c r="G254" s="14"/>
      <c r="H254" s="14"/>
      <c r="I254" s="14"/>
      <c r="J254" s="15">
        <v>0</v>
      </c>
      <c r="K254" s="14"/>
      <c r="L254" s="15">
        <v>0</v>
      </c>
      <c r="M254" s="14"/>
      <c r="N254" s="15">
        <v>0</v>
      </c>
      <c r="O254" s="14"/>
      <c r="P254" s="15">
        <v>0</v>
      </c>
      <c r="Q254" s="14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8">
        <v>0</v>
      </c>
      <c r="AK254" s="13"/>
      <c r="AL254" s="18">
        <v>0</v>
      </c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8">
        <v>0</v>
      </c>
      <c r="AY254" s="13"/>
      <c r="AZ254" s="13"/>
      <c r="BA254" s="13"/>
      <c r="BB254" s="13"/>
      <c r="BC254" s="13"/>
      <c r="BD254" s="18">
        <v>0</v>
      </c>
    </row>
    <row r="255" spans="1:56" ht="15" hidden="1" customHeight="1" outlineLevel="1" x14ac:dyDescent="0.3">
      <c r="A255" s="3"/>
      <c r="B255" s="4">
        <v>8</v>
      </c>
      <c r="C255" s="4">
        <v>8</v>
      </c>
      <c r="D255" s="3" t="s">
        <v>191</v>
      </c>
      <c r="E255" s="13"/>
      <c r="F255" s="14"/>
      <c r="G255" s="14"/>
      <c r="H255" s="14"/>
      <c r="I255" s="14"/>
      <c r="J255" s="15">
        <v>1</v>
      </c>
      <c r="K255" s="14"/>
      <c r="L255" s="15">
        <v>1</v>
      </c>
      <c r="M255" s="14"/>
      <c r="N255" s="15">
        <v>1</v>
      </c>
      <c r="O255" s="14"/>
      <c r="P255" s="15">
        <v>1</v>
      </c>
      <c r="Q255" s="14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8">
        <v>0</v>
      </c>
      <c r="AK255" s="13"/>
      <c r="AL255" s="18">
        <v>0</v>
      </c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8">
        <v>1</v>
      </c>
      <c r="AY255" s="13"/>
      <c r="AZ255" s="13"/>
      <c r="BA255" s="13"/>
      <c r="BB255" s="13"/>
      <c r="BC255" s="13"/>
      <c r="BD255" s="18">
        <v>0</v>
      </c>
    </row>
    <row r="256" spans="1:56" ht="15" hidden="1" customHeight="1" outlineLevel="1" x14ac:dyDescent="0.3">
      <c r="A256" s="3"/>
      <c r="B256" s="4">
        <v>7</v>
      </c>
      <c r="C256" s="4">
        <v>7</v>
      </c>
      <c r="D256" s="3" t="s">
        <v>192</v>
      </c>
      <c r="E256" s="13"/>
      <c r="F256" s="14"/>
      <c r="G256" s="14"/>
      <c r="H256" s="14"/>
      <c r="I256" s="14"/>
      <c r="J256" s="15">
        <v>0</v>
      </c>
      <c r="K256" s="14"/>
      <c r="L256" s="15">
        <v>0</v>
      </c>
      <c r="M256" s="14"/>
      <c r="N256" s="15">
        <v>0</v>
      </c>
      <c r="O256" s="14"/>
      <c r="P256" s="15">
        <v>0</v>
      </c>
      <c r="Q256" s="14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8">
        <v>0</v>
      </c>
      <c r="AK256" s="13"/>
      <c r="AL256" s="18">
        <v>0</v>
      </c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8">
        <v>0</v>
      </c>
      <c r="AY256" s="13"/>
      <c r="AZ256" s="13"/>
      <c r="BA256" s="13"/>
      <c r="BB256" s="13"/>
      <c r="BC256" s="13"/>
      <c r="BD256" s="18">
        <v>0</v>
      </c>
    </row>
    <row r="257" spans="1:56" ht="15" hidden="1" customHeight="1" outlineLevel="1" x14ac:dyDescent="0.3">
      <c r="A257" s="3"/>
      <c r="B257" s="4">
        <v>6</v>
      </c>
      <c r="C257" s="4">
        <v>4</v>
      </c>
      <c r="D257" s="3" t="s">
        <v>193</v>
      </c>
      <c r="E257" s="13"/>
      <c r="F257" s="14"/>
      <c r="G257" s="14"/>
      <c r="H257" s="14"/>
      <c r="I257" s="14"/>
      <c r="J257" s="15">
        <v>0</v>
      </c>
      <c r="K257" s="14"/>
      <c r="L257" s="15">
        <v>0</v>
      </c>
      <c r="M257" s="14"/>
      <c r="N257" s="15">
        <v>0</v>
      </c>
      <c r="O257" s="14"/>
      <c r="P257" s="15">
        <v>0</v>
      </c>
      <c r="Q257" s="14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8">
        <v>0</v>
      </c>
      <c r="AK257" s="13"/>
      <c r="AL257" s="18">
        <v>0</v>
      </c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8">
        <v>0</v>
      </c>
      <c r="AY257" s="13"/>
      <c r="AZ257" s="13"/>
      <c r="BA257" s="13"/>
      <c r="BB257" s="13"/>
      <c r="BC257" s="13"/>
      <c r="BD257" s="18">
        <v>0</v>
      </c>
    </row>
    <row r="258" spans="1:56" ht="15" hidden="1" customHeight="1" outlineLevel="1" x14ac:dyDescent="0.3">
      <c r="A258" s="3"/>
      <c r="B258" s="4">
        <v>3</v>
      </c>
      <c r="C258" s="4">
        <v>3</v>
      </c>
      <c r="D258" s="3" t="s">
        <v>194</v>
      </c>
      <c r="E258" s="13"/>
      <c r="F258" s="14"/>
      <c r="G258" s="14"/>
      <c r="H258" s="14"/>
      <c r="I258" s="14"/>
      <c r="J258" s="15">
        <v>0</v>
      </c>
      <c r="K258" s="14"/>
      <c r="L258" s="15">
        <v>0</v>
      </c>
      <c r="M258" s="14"/>
      <c r="N258" s="15">
        <v>0</v>
      </c>
      <c r="O258" s="14"/>
      <c r="P258" s="15">
        <v>0</v>
      </c>
      <c r="Q258" s="14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8">
        <v>0</v>
      </c>
      <c r="AK258" s="13"/>
      <c r="AL258" s="18">
        <v>0</v>
      </c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8">
        <v>0</v>
      </c>
      <c r="AY258" s="13"/>
      <c r="AZ258" s="13"/>
      <c r="BA258" s="13"/>
      <c r="BB258" s="13"/>
      <c r="BC258" s="13"/>
      <c r="BD258" s="18">
        <v>0</v>
      </c>
    </row>
    <row r="259" spans="1:56" ht="15" hidden="1" customHeight="1" outlineLevel="1" x14ac:dyDescent="0.3">
      <c r="A259" s="3"/>
      <c r="B259" s="4">
        <v>2</v>
      </c>
      <c r="C259" s="4">
        <v>0</v>
      </c>
      <c r="D259" s="3" t="s">
        <v>195</v>
      </c>
      <c r="E259" s="13"/>
      <c r="F259" s="14"/>
      <c r="G259" s="14"/>
      <c r="H259" s="14"/>
      <c r="I259" s="14"/>
      <c r="J259" s="15">
        <v>4</v>
      </c>
      <c r="K259" s="14"/>
      <c r="L259" s="15">
        <v>5</v>
      </c>
      <c r="M259" s="14"/>
      <c r="N259" s="15">
        <v>6</v>
      </c>
      <c r="O259" s="14"/>
      <c r="P259" s="15">
        <v>7</v>
      </c>
      <c r="Q259" s="14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8">
        <v>4</v>
      </c>
      <c r="AK259" s="13"/>
      <c r="AL259" s="18">
        <v>4</v>
      </c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8">
        <v>4</v>
      </c>
      <c r="AY259" s="13"/>
      <c r="AZ259" s="13"/>
      <c r="BA259" s="13"/>
      <c r="BB259" s="13"/>
      <c r="BC259" s="13"/>
      <c r="BD259" s="18">
        <v>0</v>
      </c>
    </row>
    <row r="260" spans="1:56" ht="15" customHeight="1" collapsed="1" x14ac:dyDescent="0.3">
      <c r="A260" s="3" t="s">
        <v>196</v>
      </c>
      <c r="B260" s="4"/>
      <c r="C260" s="4"/>
      <c r="D260" s="3"/>
      <c r="E260" s="13"/>
      <c r="F260" s="14"/>
      <c r="G260" s="14"/>
      <c r="H260" s="14"/>
      <c r="I260" s="14"/>
      <c r="J260" s="17" t="str">
        <f>BitsTo32Bit(J261:J274)</f>
        <v>0</v>
      </c>
      <c r="K260" s="14"/>
      <c r="L260" s="17" t="str">
        <f>BitsTo32Bit(L261:L274)</f>
        <v>0</v>
      </c>
      <c r="M260" s="14"/>
      <c r="N260" s="17" t="str">
        <f>BitsTo32Bit(N261:N274)</f>
        <v>0</v>
      </c>
      <c r="O260" s="14"/>
      <c r="P260" s="17" t="str">
        <f>BitsTo32Bit(P261:P274)</f>
        <v>0</v>
      </c>
      <c r="Q260" s="14"/>
      <c r="R260" s="13"/>
      <c r="S260" s="13"/>
      <c r="T260" s="38" t="str">
        <f>BitsTo32Bit(T261:T274)</f>
        <v>0402B9</v>
      </c>
      <c r="U260" s="13"/>
      <c r="V260" s="38" t="str">
        <f>BitsTo32Bit(V261:V274)</f>
        <v>04014C</v>
      </c>
      <c r="W260" s="13"/>
      <c r="X260" s="38" t="str">
        <f>BitsTo32Bit(X261:X274)</f>
        <v>04014C</v>
      </c>
      <c r="Y260" s="13"/>
      <c r="Z260" s="38" t="str">
        <f>BitsTo32Bit(Z261:Z274)</f>
        <v>04014C</v>
      </c>
      <c r="AA260" s="13"/>
      <c r="AB260" s="13"/>
      <c r="AC260" s="13"/>
      <c r="AD260" s="13"/>
      <c r="AE260" s="13"/>
      <c r="AF260" s="13"/>
      <c r="AG260" s="13"/>
      <c r="AH260" s="13"/>
      <c r="AI260" s="13"/>
      <c r="AJ260" s="20" t="str">
        <f>BitsTo32Bit(AJ261:AJ274)</f>
        <v>07C00</v>
      </c>
      <c r="AK260" s="13"/>
      <c r="AL260" s="20" t="str">
        <f>BitsTo32Bit(AL261:AL274)</f>
        <v>07C00</v>
      </c>
      <c r="AM260" s="13"/>
      <c r="AN260" s="13"/>
      <c r="AO260" s="13"/>
      <c r="AP260" s="20" t="str">
        <f>BitsTo32Bit(AP261:AP274)</f>
        <v>0ED</v>
      </c>
      <c r="AQ260" s="20" t="str">
        <f>BitsTo32Bit(AQ261:AQ274)</f>
        <v>0ED</v>
      </c>
      <c r="AR260" s="13"/>
      <c r="AS260" s="13"/>
      <c r="AT260" s="13"/>
      <c r="AU260" s="13"/>
      <c r="AV260" s="13"/>
      <c r="AW260" s="13"/>
      <c r="AX260" s="20" t="str">
        <f>BitsTo32Bit(AX261:AX274)</f>
        <v>9</v>
      </c>
      <c r="AY260" s="13"/>
      <c r="AZ260" s="20" t="str">
        <f>BitsTo32Bit(AZ261:AZ274)</f>
        <v>031000F</v>
      </c>
      <c r="BA260" s="13"/>
      <c r="BB260" s="20" t="str">
        <f>BitsTo32Bit(BB261:BB274)</f>
        <v>031000F</v>
      </c>
      <c r="BC260" s="13"/>
      <c r="BD260" s="20" t="str">
        <f>BitsTo32Bit(BD261:BD274)</f>
        <v>0</v>
      </c>
    </row>
    <row r="261" spans="1:56" ht="15" hidden="1" customHeight="1" outlineLevel="1" x14ac:dyDescent="0.3">
      <c r="A261" s="3"/>
      <c r="B261" s="4">
        <v>31</v>
      </c>
      <c r="C261" s="4">
        <v>31</v>
      </c>
      <c r="D261" s="3" t="s">
        <v>1</v>
      </c>
      <c r="E261" s="13"/>
      <c r="F261" s="14"/>
      <c r="G261" s="14"/>
      <c r="H261" s="14"/>
      <c r="I261" s="14"/>
      <c r="J261" s="15">
        <v>0</v>
      </c>
      <c r="K261" s="14"/>
      <c r="L261" s="15">
        <v>0</v>
      </c>
      <c r="M261" s="14"/>
      <c r="N261" s="15">
        <v>0</v>
      </c>
      <c r="O261" s="14"/>
      <c r="P261" s="15">
        <v>0</v>
      </c>
      <c r="Q261" s="14"/>
      <c r="R261" s="16"/>
      <c r="S261" s="13"/>
      <c r="T261" s="39">
        <v>0</v>
      </c>
      <c r="U261" s="13"/>
      <c r="V261" s="39">
        <v>0</v>
      </c>
      <c r="W261" s="13"/>
      <c r="X261" s="39">
        <v>0</v>
      </c>
      <c r="Y261" s="13"/>
      <c r="Z261" s="39">
        <v>0</v>
      </c>
      <c r="AA261" s="13"/>
      <c r="AB261" s="13"/>
      <c r="AC261" s="13"/>
      <c r="AD261" s="13"/>
      <c r="AE261" s="13"/>
      <c r="AF261" s="13"/>
      <c r="AG261" s="13"/>
      <c r="AH261" s="13"/>
      <c r="AI261" s="13"/>
      <c r="AJ261" s="18">
        <v>0</v>
      </c>
      <c r="AK261" s="13"/>
      <c r="AL261" s="18">
        <v>0</v>
      </c>
      <c r="AM261" s="13"/>
      <c r="AN261" s="13"/>
      <c r="AO261" s="13"/>
      <c r="AP261" s="18">
        <v>0</v>
      </c>
      <c r="AQ261" s="18">
        <v>0</v>
      </c>
      <c r="AR261" s="13"/>
      <c r="AS261" s="13"/>
      <c r="AT261" s="13"/>
      <c r="AU261" s="13"/>
      <c r="AV261" s="13"/>
      <c r="AW261" s="13"/>
      <c r="AX261" s="18">
        <v>0</v>
      </c>
      <c r="AY261" s="13"/>
      <c r="AZ261" s="18">
        <v>0</v>
      </c>
      <c r="BA261" s="13"/>
      <c r="BB261" s="18">
        <v>0</v>
      </c>
      <c r="BC261" s="13"/>
      <c r="BD261" s="18">
        <v>0</v>
      </c>
    </row>
    <row r="262" spans="1:56" ht="15" hidden="1" customHeight="1" outlineLevel="1" x14ac:dyDescent="0.3">
      <c r="A262" s="3"/>
      <c r="B262" s="4">
        <v>30</v>
      </c>
      <c r="C262" s="4">
        <v>27</v>
      </c>
      <c r="D262" s="3" t="s">
        <v>197</v>
      </c>
      <c r="E262" s="13"/>
      <c r="F262" s="14"/>
      <c r="G262" s="14"/>
      <c r="H262" s="14"/>
      <c r="I262" s="14"/>
      <c r="J262" s="15">
        <v>0</v>
      </c>
      <c r="K262" s="14"/>
      <c r="L262" s="15">
        <v>0</v>
      </c>
      <c r="M262" s="14"/>
      <c r="N262" s="15">
        <v>0</v>
      </c>
      <c r="O262" s="14"/>
      <c r="P262" s="15">
        <v>0</v>
      </c>
      <c r="Q262" s="14"/>
      <c r="R262" s="16"/>
      <c r="S262" s="13"/>
      <c r="T262" s="39">
        <v>0</v>
      </c>
      <c r="U262" s="13"/>
      <c r="V262" s="39">
        <v>0</v>
      </c>
      <c r="W262" s="13"/>
      <c r="X262" s="39">
        <v>0</v>
      </c>
      <c r="Y262" s="13"/>
      <c r="Z262" s="39">
        <v>0</v>
      </c>
      <c r="AA262" s="13"/>
      <c r="AB262" s="13"/>
      <c r="AC262" s="13"/>
      <c r="AD262" s="13"/>
      <c r="AE262" s="13"/>
      <c r="AF262" s="13"/>
      <c r="AG262" s="13"/>
      <c r="AH262" s="13"/>
      <c r="AI262" s="13"/>
      <c r="AJ262" s="18">
        <v>0</v>
      </c>
      <c r="AK262" s="13"/>
      <c r="AL262" s="18">
        <v>0</v>
      </c>
      <c r="AM262" s="13"/>
      <c r="AN262" s="13"/>
      <c r="AO262" s="13"/>
      <c r="AP262" s="18">
        <v>0</v>
      </c>
      <c r="AQ262" s="18">
        <v>0</v>
      </c>
      <c r="AR262" s="13"/>
      <c r="AS262" s="13"/>
      <c r="AT262" s="13"/>
      <c r="AU262" s="13"/>
      <c r="AV262" s="13"/>
      <c r="AW262" s="13"/>
      <c r="AX262" s="18">
        <v>0</v>
      </c>
      <c r="AY262" s="13"/>
      <c r="AZ262" s="18">
        <v>0</v>
      </c>
      <c r="BA262" s="13"/>
      <c r="BB262" s="18">
        <v>0</v>
      </c>
      <c r="BC262" s="13"/>
      <c r="BD262" s="18">
        <v>0</v>
      </c>
    </row>
    <row r="263" spans="1:56" ht="15" hidden="1" customHeight="1" outlineLevel="1" x14ac:dyDescent="0.3">
      <c r="A263" s="3"/>
      <c r="B263" s="4">
        <v>26</v>
      </c>
      <c r="C263" s="4">
        <v>26</v>
      </c>
      <c r="D263" s="3" t="s">
        <v>198</v>
      </c>
      <c r="E263" s="13"/>
      <c r="F263" s="14"/>
      <c r="G263" s="14"/>
      <c r="H263" s="14"/>
      <c r="I263" s="14"/>
      <c r="J263" s="15">
        <v>0</v>
      </c>
      <c r="K263" s="14"/>
      <c r="L263" s="15">
        <v>0</v>
      </c>
      <c r="M263" s="14"/>
      <c r="N263" s="15">
        <v>0</v>
      </c>
      <c r="O263" s="14"/>
      <c r="P263" s="15">
        <v>0</v>
      </c>
      <c r="Q263" s="14"/>
      <c r="R263" s="16"/>
      <c r="S263" s="13"/>
      <c r="T263" s="39">
        <v>0</v>
      </c>
      <c r="U263" s="13"/>
      <c r="V263" s="39">
        <v>0</v>
      </c>
      <c r="W263" s="13"/>
      <c r="X263" s="39">
        <v>0</v>
      </c>
      <c r="Y263" s="13"/>
      <c r="Z263" s="39">
        <v>0</v>
      </c>
      <c r="AA263" s="13"/>
      <c r="AB263" s="13"/>
      <c r="AC263" s="13"/>
      <c r="AD263" s="13"/>
      <c r="AE263" s="13"/>
      <c r="AF263" s="13"/>
      <c r="AG263" s="13"/>
      <c r="AH263" s="13"/>
      <c r="AI263" s="13"/>
      <c r="AJ263" s="18">
        <v>0</v>
      </c>
      <c r="AK263" s="13"/>
      <c r="AL263" s="18">
        <v>0</v>
      </c>
      <c r="AM263" s="13"/>
      <c r="AN263" s="13"/>
      <c r="AO263" s="13"/>
      <c r="AP263" s="18">
        <v>0</v>
      </c>
      <c r="AQ263" s="18">
        <v>0</v>
      </c>
      <c r="AR263" s="13"/>
      <c r="AS263" s="13"/>
      <c r="AT263" s="13"/>
      <c r="AU263" s="13"/>
      <c r="AV263" s="13"/>
      <c r="AW263" s="13"/>
      <c r="AX263" s="18">
        <v>0</v>
      </c>
      <c r="AY263" s="13"/>
      <c r="AZ263" s="18">
        <v>0</v>
      </c>
      <c r="BA263" s="13"/>
      <c r="BB263" s="18">
        <v>0</v>
      </c>
      <c r="BC263" s="13"/>
      <c r="BD263" s="18">
        <v>0</v>
      </c>
    </row>
    <row r="264" spans="1:56" ht="15" hidden="1" customHeight="1" outlineLevel="1" x14ac:dyDescent="0.3">
      <c r="A264" s="3"/>
      <c r="B264" s="4">
        <v>25</v>
      </c>
      <c r="C264" s="4">
        <v>25</v>
      </c>
      <c r="D264" s="3" t="s">
        <v>199</v>
      </c>
      <c r="E264" s="13"/>
      <c r="F264" s="14"/>
      <c r="G264" s="14"/>
      <c r="H264" s="14"/>
      <c r="I264" s="14"/>
      <c r="J264" s="15">
        <v>0</v>
      </c>
      <c r="K264" s="14"/>
      <c r="L264" s="15">
        <v>0</v>
      </c>
      <c r="M264" s="14"/>
      <c r="N264" s="15">
        <v>0</v>
      </c>
      <c r="O264" s="14"/>
      <c r="P264" s="15">
        <v>0</v>
      </c>
      <c r="Q264" s="14"/>
      <c r="R264" s="16"/>
      <c r="S264" s="13"/>
      <c r="T264" s="39">
        <v>0</v>
      </c>
      <c r="U264" s="13"/>
      <c r="V264" s="39">
        <v>0</v>
      </c>
      <c r="W264" s="13"/>
      <c r="X264" s="39">
        <v>0</v>
      </c>
      <c r="Y264" s="13"/>
      <c r="Z264" s="39">
        <v>0</v>
      </c>
      <c r="AA264" s="13"/>
      <c r="AB264" s="13"/>
      <c r="AC264" s="13"/>
      <c r="AD264" s="13"/>
      <c r="AE264" s="13"/>
      <c r="AF264" s="13"/>
      <c r="AG264" s="13"/>
      <c r="AH264" s="13"/>
      <c r="AI264" s="13"/>
      <c r="AJ264" s="18">
        <v>0</v>
      </c>
      <c r="AK264" s="13"/>
      <c r="AL264" s="18">
        <v>0</v>
      </c>
      <c r="AM264" s="13"/>
      <c r="AN264" s="13"/>
      <c r="AO264" s="13"/>
      <c r="AP264" s="18">
        <v>0</v>
      </c>
      <c r="AQ264" s="18">
        <v>0</v>
      </c>
      <c r="AR264" s="13"/>
      <c r="AS264" s="13"/>
      <c r="AT264" s="13"/>
      <c r="AU264" s="13"/>
      <c r="AV264" s="13"/>
      <c r="AW264" s="13"/>
      <c r="AX264" s="18">
        <v>0</v>
      </c>
      <c r="AY264" s="13"/>
      <c r="AZ264" s="18">
        <v>0</v>
      </c>
      <c r="BA264" s="13"/>
      <c r="BB264" s="18">
        <v>0</v>
      </c>
      <c r="BC264" s="13"/>
      <c r="BD264" s="18">
        <v>0</v>
      </c>
    </row>
    <row r="265" spans="1:56" ht="15" hidden="1" customHeight="1" outlineLevel="1" x14ac:dyDescent="0.3">
      <c r="A265" s="3"/>
      <c r="B265" s="4">
        <v>24</v>
      </c>
      <c r="C265" s="4">
        <v>24</v>
      </c>
      <c r="D265" s="3" t="s">
        <v>200</v>
      </c>
      <c r="E265" s="13"/>
      <c r="F265" s="14"/>
      <c r="G265" s="14"/>
      <c r="H265" s="14"/>
      <c r="I265" s="14"/>
      <c r="J265" s="15">
        <v>0</v>
      </c>
      <c r="K265" s="14"/>
      <c r="L265" s="15">
        <v>0</v>
      </c>
      <c r="M265" s="14"/>
      <c r="N265" s="15">
        <v>0</v>
      </c>
      <c r="O265" s="14"/>
      <c r="P265" s="15">
        <v>0</v>
      </c>
      <c r="Q265" s="14"/>
      <c r="R265" s="16"/>
      <c r="S265" s="13"/>
      <c r="T265" s="39">
        <v>0</v>
      </c>
      <c r="U265" s="13"/>
      <c r="V265" s="39">
        <v>0</v>
      </c>
      <c r="W265" s="13"/>
      <c r="X265" s="39">
        <v>0</v>
      </c>
      <c r="Y265" s="13"/>
      <c r="Z265" s="39">
        <v>0</v>
      </c>
      <c r="AA265" s="13"/>
      <c r="AB265" s="13"/>
      <c r="AC265" s="13"/>
      <c r="AD265" s="13"/>
      <c r="AE265" s="13"/>
      <c r="AF265" s="13"/>
      <c r="AG265" s="13"/>
      <c r="AH265" s="13"/>
      <c r="AI265" s="13"/>
      <c r="AJ265" s="18">
        <v>0</v>
      </c>
      <c r="AK265" s="13"/>
      <c r="AL265" s="18">
        <v>0</v>
      </c>
      <c r="AM265" s="13"/>
      <c r="AN265" s="13"/>
      <c r="AO265" s="13"/>
      <c r="AP265" s="18">
        <v>0</v>
      </c>
      <c r="AQ265" s="18">
        <v>0</v>
      </c>
      <c r="AR265" s="13"/>
      <c r="AS265" s="13"/>
      <c r="AT265" s="13"/>
      <c r="AU265" s="13"/>
      <c r="AV265" s="13"/>
      <c r="AW265" s="13"/>
      <c r="AX265" s="18">
        <v>0</v>
      </c>
      <c r="AY265" s="13"/>
      <c r="AZ265" s="18">
        <v>0</v>
      </c>
      <c r="BA265" s="13"/>
      <c r="BB265" s="18">
        <v>0</v>
      </c>
      <c r="BC265" s="13"/>
      <c r="BD265" s="18">
        <v>0</v>
      </c>
    </row>
    <row r="266" spans="1:56" ht="15" hidden="1" customHeight="1" outlineLevel="1" x14ac:dyDescent="0.3">
      <c r="A266" s="3"/>
      <c r="B266" s="4">
        <v>23</v>
      </c>
      <c r="C266" s="4">
        <v>23</v>
      </c>
      <c r="D266" s="3" t="s">
        <v>1</v>
      </c>
      <c r="E266" s="13"/>
      <c r="F266" s="14"/>
      <c r="G266" s="14"/>
      <c r="H266" s="14"/>
      <c r="I266" s="14"/>
      <c r="J266" s="15">
        <v>0</v>
      </c>
      <c r="K266" s="14"/>
      <c r="L266" s="15">
        <v>0</v>
      </c>
      <c r="M266" s="14"/>
      <c r="N266" s="15">
        <v>0</v>
      </c>
      <c r="O266" s="14"/>
      <c r="P266" s="15">
        <v>0</v>
      </c>
      <c r="Q266" s="14"/>
      <c r="R266" s="16"/>
      <c r="S266" s="13"/>
      <c r="T266" s="39">
        <v>0</v>
      </c>
      <c r="U266" s="13"/>
      <c r="V266" s="39">
        <v>0</v>
      </c>
      <c r="W266" s="13"/>
      <c r="X266" s="39">
        <v>0</v>
      </c>
      <c r="Y266" s="13"/>
      <c r="Z266" s="39">
        <v>0</v>
      </c>
      <c r="AA266" s="13"/>
      <c r="AB266" s="13"/>
      <c r="AC266" s="13"/>
      <c r="AD266" s="13"/>
      <c r="AE266" s="13"/>
      <c r="AF266" s="13"/>
      <c r="AG266" s="13"/>
      <c r="AH266" s="13"/>
      <c r="AI266" s="13"/>
      <c r="AJ266" s="18">
        <v>0</v>
      </c>
      <c r="AK266" s="13"/>
      <c r="AL266" s="18">
        <v>0</v>
      </c>
      <c r="AM266" s="13"/>
      <c r="AN266" s="13"/>
      <c r="AO266" s="13"/>
      <c r="AP266" s="18">
        <v>0</v>
      </c>
      <c r="AQ266" s="18">
        <v>0</v>
      </c>
      <c r="AR266" s="13"/>
      <c r="AS266" s="13"/>
      <c r="AT266" s="13"/>
      <c r="AU266" s="13"/>
      <c r="AV266" s="13"/>
      <c r="AW266" s="13"/>
      <c r="AX266" s="18">
        <v>0</v>
      </c>
      <c r="AY266" s="13"/>
      <c r="AZ266" s="18">
        <v>0</v>
      </c>
      <c r="BA266" s="13"/>
      <c r="BB266" s="18">
        <v>0</v>
      </c>
      <c r="BC266" s="13"/>
      <c r="BD266" s="18">
        <v>0</v>
      </c>
    </row>
    <row r="267" spans="1:56" ht="15" hidden="1" customHeight="1" outlineLevel="1" x14ac:dyDescent="0.3">
      <c r="A267" s="3"/>
      <c r="B267" s="4">
        <v>22</v>
      </c>
      <c r="C267" s="4">
        <v>19</v>
      </c>
      <c r="D267" s="3" t="s">
        <v>201</v>
      </c>
      <c r="E267" s="13"/>
      <c r="F267" s="14"/>
      <c r="G267" s="14"/>
      <c r="H267" s="14"/>
      <c r="I267" s="14"/>
      <c r="J267" s="15">
        <v>0</v>
      </c>
      <c r="K267" s="14"/>
      <c r="L267" s="15">
        <v>0</v>
      </c>
      <c r="M267" s="14"/>
      <c r="N267" s="15">
        <v>0</v>
      </c>
      <c r="O267" s="14"/>
      <c r="P267" s="15">
        <v>0</v>
      </c>
      <c r="Q267" s="14"/>
      <c r="R267" s="14"/>
      <c r="S267" s="13"/>
      <c r="T267" s="39">
        <v>0</v>
      </c>
      <c r="U267" s="13"/>
      <c r="V267" s="39">
        <v>0</v>
      </c>
      <c r="W267" s="13"/>
      <c r="X267" s="39">
        <v>0</v>
      </c>
      <c r="Y267" s="13"/>
      <c r="Z267" s="39">
        <v>0</v>
      </c>
      <c r="AA267" s="13"/>
      <c r="AB267" s="13"/>
      <c r="AC267" s="13"/>
      <c r="AD267" s="13"/>
      <c r="AE267" s="13"/>
      <c r="AF267" s="13"/>
      <c r="AG267" s="13"/>
      <c r="AH267" s="13"/>
      <c r="AI267" s="13"/>
      <c r="AJ267" s="18">
        <v>0</v>
      </c>
      <c r="AK267" s="13"/>
      <c r="AL267" s="18">
        <v>0</v>
      </c>
      <c r="AM267" s="13"/>
      <c r="AN267" s="13"/>
      <c r="AO267" s="13"/>
      <c r="AP267" s="18">
        <v>0</v>
      </c>
      <c r="AQ267" s="18">
        <v>0</v>
      </c>
      <c r="AR267" s="13"/>
      <c r="AS267" s="13"/>
      <c r="AT267" s="13"/>
      <c r="AU267" s="13"/>
      <c r="AV267" s="13"/>
      <c r="AW267" s="13"/>
      <c r="AX267" s="18">
        <v>0</v>
      </c>
      <c r="AY267" s="13"/>
      <c r="AZ267" s="18">
        <v>6</v>
      </c>
      <c r="BA267" s="13"/>
      <c r="BB267" s="18">
        <v>6</v>
      </c>
      <c r="BC267" s="13"/>
      <c r="BD267" s="18">
        <v>0</v>
      </c>
    </row>
    <row r="268" spans="1:56" ht="15" hidden="1" customHeight="1" outlineLevel="1" x14ac:dyDescent="0.3">
      <c r="A268" s="3"/>
      <c r="B268" s="4">
        <v>18</v>
      </c>
      <c r="C268" s="4">
        <v>18</v>
      </c>
      <c r="D268" s="3" t="s">
        <v>202</v>
      </c>
      <c r="E268" s="13"/>
      <c r="F268" s="14"/>
      <c r="G268" s="14"/>
      <c r="H268" s="14"/>
      <c r="I268" s="14"/>
      <c r="J268" s="15">
        <v>0</v>
      </c>
      <c r="K268" s="14"/>
      <c r="L268" s="15">
        <v>0</v>
      </c>
      <c r="M268" s="14"/>
      <c r="N268" s="15">
        <v>0</v>
      </c>
      <c r="O268" s="14"/>
      <c r="P268" s="15">
        <v>0</v>
      </c>
      <c r="Q268" s="14"/>
      <c r="R268" s="16"/>
      <c r="S268" s="13"/>
      <c r="T268" s="39">
        <v>1</v>
      </c>
      <c r="U268" s="13"/>
      <c r="V268" s="39">
        <v>1</v>
      </c>
      <c r="W268" s="13"/>
      <c r="X268" s="39">
        <v>1</v>
      </c>
      <c r="Y268" s="13"/>
      <c r="Z268" s="39">
        <v>1</v>
      </c>
      <c r="AA268" s="13"/>
      <c r="AB268" s="13"/>
      <c r="AC268" s="13"/>
      <c r="AD268" s="13"/>
      <c r="AE268" s="13"/>
      <c r="AF268" s="13"/>
      <c r="AG268" s="13"/>
      <c r="AH268" s="13"/>
      <c r="AI268" s="13"/>
      <c r="AJ268" s="18">
        <v>0</v>
      </c>
      <c r="AK268" s="13"/>
      <c r="AL268" s="18">
        <v>0</v>
      </c>
      <c r="AM268" s="13"/>
      <c r="AN268" s="13"/>
      <c r="AO268" s="13"/>
      <c r="AP268" s="18">
        <v>0</v>
      </c>
      <c r="AQ268" s="18">
        <v>0</v>
      </c>
      <c r="AR268" s="13"/>
      <c r="AS268" s="13"/>
      <c r="AT268" s="13"/>
      <c r="AU268" s="13"/>
      <c r="AV268" s="13"/>
      <c r="AW268" s="13"/>
      <c r="AX268" s="18">
        <v>0</v>
      </c>
      <c r="AY268" s="13"/>
      <c r="AZ268" s="18">
        <v>0</v>
      </c>
      <c r="BA268" s="13"/>
      <c r="BB268" s="18">
        <v>0</v>
      </c>
      <c r="BC268" s="13"/>
      <c r="BD268" s="18">
        <v>0</v>
      </c>
    </row>
    <row r="269" spans="1:56" ht="15" hidden="1" customHeight="1" outlineLevel="1" x14ac:dyDescent="0.3">
      <c r="A269" s="3"/>
      <c r="B269" s="4">
        <v>17</v>
      </c>
      <c r="C269" s="4">
        <v>17</v>
      </c>
      <c r="D269" s="3" t="s">
        <v>203</v>
      </c>
      <c r="E269" s="13"/>
      <c r="F269" s="14"/>
      <c r="G269" s="14"/>
      <c r="H269" s="14"/>
      <c r="I269" s="14"/>
      <c r="J269" s="15">
        <v>0</v>
      </c>
      <c r="K269" s="14"/>
      <c r="L269" s="15">
        <v>0</v>
      </c>
      <c r="M269" s="14"/>
      <c r="N269" s="15">
        <v>0</v>
      </c>
      <c r="O269" s="14"/>
      <c r="P269" s="15">
        <v>0</v>
      </c>
      <c r="Q269" s="14"/>
      <c r="R269" s="16"/>
      <c r="S269" s="13"/>
      <c r="T269" s="39">
        <v>0</v>
      </c>
      <c r="U269" s="13"/>
      <c r="V269" s="39">
        <v>0</v>
      </c>
      <c r="W269" s="13"/>
      <c r="X269" s="39">
        <v>0</v>
      </c>
      <c r="Y269" s="13"/>
      <c r="Z269" s="39">
        <v>0</v>
      </c>
      <c r="AA269" s="13"/>
      <c r="AB269" s="13"/>
      <c r="AC269" s="13"/>
      <c r="AD269" s="13"/>
      <c r="AE269" s="13"/>
      <c r="AF269" s="13"/>
      <c r="AG269" s="13"/>
      <c r="AH269" s="13"/>
      <c r="AI269" s="13"/>
      <c r="AJ269" s="18">
        <v>0</v>
      </c>
      <c r="AK269" s="13"/>
      <c r="AL269" s="18">
        <v>0</v>
      </c>
      <c r="AM269" s="13"/>
      <c r="AN269" s="13"/>
      <c r="AO269" s="13"/>
      <c r="AP269" s="18">
        <v>0</v>
      </c>
      <c r="AQ269" s="18">
        <v>0</v>
      </c>
      <c r="AR269" s="13"/>
      <c r="AS269" s="13"/>
      <c r="AT269" s="13"/>
      <c r="AU269" s="13"/>
      <c r="AV269" s="13"/>
      <c r="AW269" s="13"/>
      <c r="AX269" s="18">
        <v>0</v>
      </c>
      <c r="AY269" s="13"/>
      <c r="AZ269" s="18">
        <v>0</v>
      </c>
      <c r="BA269" s="13"/>
      <c r="BB269" s="18">
        <v>0</v>
      </c>
      <c r="BC269" s="13"/>
      <c r="BD269" s="18">
        <v>0</v>
      </c>
    </row>
    <row r="270" spans="1:56" ht="15" hidden="1" customHeight="1" outlineLevel="1" x14ac:dyDescent="0.3">
      <c r="A270" s="3"/>
      <c r="B270" s="4">
        <v>16</v>
      </c>
      <c r="C270" s="4">
        <v>16</v>
      </c>
      <c r="D270" s="3" t="s">
        <v>204</v>
      </c>
      <c r="E270" s="13"/>
      <c r="F270" s="14"/>
      <c r="G270" s="14"/>
      <c r="H270" s="14"/>
      <c r="I270" s="14"/>
      <c r="J270" s="15">
        <v>0</v>
      </c>
      <c r="K270" s="14"/>
      <c r="L270" s="15">
        <v>0</v>
      </c>
      <c r="M270" s="14"/>
      <c r="N270" s="15">
        <v>0</v>
      </c>
      <c r="O270" s="14"/>
      <c r="P270" s="15">
        <v>0</v>
      </c>
      <c r="Q270" s="14"/>
      <c r="R270" s="16"/>
      <c r="S270" s="13"/>
      <c r="T270" s="39">
        <v>0</v>
      </c>
      <c r="U270" s="13"/>
      <c r="V270" s="39">
        <v>0</v>
      </c>
      <c r="W270" s="13"/>
      <c r="X270" s="39">
        <v>0</v>
      </c>
      <c r="Y270" s="13"/>
      <c r="Z270" s="39">
        <v>0</v>
      </c>
      <c r="AA270" s="13"/>
      <c r="AB270" s="13"/>
      <c r="AC270" s="13"/>
      <c r="AD270" s="13"/>
      <c r="AE270" s="13"/>
      <c r="AF270" s="13"/>
      <c r="AG270" s="13"/>
      <c r="AH270" s="13"/>
      <c r="AI270" s="13"/>
      <c r="AJ270" s="18">
        <v>0</v>
      </c>
      <c r="AK270" s="13"/>
      <c r="AL270" s="18">
        <v>0</v>
      </c>
      <c r="AM270" s="13"/>
      <c r="AN270" s="13"/>
      <c r="AO270" s="13"/>
      <c r="AP270" s="18">
        <v>0</v>
      </c>
      <c r="AQ270" s="18">
        <v>0</v>
      </c>
      <c r="AR270" s="13"/>
      <c r="AS270" s="13"/>
      <c r="AT270" s="13"/>
      <c r="AU270" s="13"/>
      <c r="AV270" s="13"/>
      <c r="AW270" s="13"/>
      <c r="AX270" s="18">
        <v>0</v>
      </c>
      <c r="AY270" s="13"/>
      <c r="AZ270" s="18">
        <v>1</v>
      </c>
      <c r="BA270" s="13"/>
      <c r="BB270" s="18">
        <v>1</v>
      </c>
      <c r="BC270" s="13"/>
      <c r="BD270" s="18">
        <v>0</v>
      </c>
    </row>
    <row r="271" spans="1:56" ht="15" hidden="1" customHeight="1" outlineLevel="1" x14ac:dyDescent="0.3">
      <c r="A271" s="3"/>
      <c r="B271" s="4">
        <v>15</v>
      </c>
      <c r="C271" s="4">
        <v>13</v>
      </c>
      <c r="D271" s="3" t="s">
        <v>205</v>
      </c>
      <c r="E271" s="13"/>
      <c r="F271" s="14"/>
      <c r="G271" s="14"/>
      <c r="H271" s="14"/>
      <c r="I271" s="14"/>
      <c r="J271" s="15">
        <v>0</v>
      </c>
      <c r="K271" s="14"/>
      <c r="L271" s="15">
        <v>0</v>
      </c>
      <c r="M271" s="14"/>
      <c r="N271" s="15">
        <v>0</v>
      </c>
      <c r="O271" s="14"/>
      <c r="P271" s="15">
        <v>0</v>
      </c>
      <c r="Q271" s="14"/>
      <c r="R271" s="16"/>
      <c r="S271" s="13"/>
      <c r="T271" s="39">
        <v>0</v>
      </c>
      <c r="U271" s="13"/>
      <c r="V271" s="39">
        <v>0</v>
      </c>
      <c r="W271" s="13"/>
      <c r="X271" s="39">
        <v>0</v>
      </c>
      <c r="Y271" s="13"/>
      <c r="Z271" s="39">
        <v>0</v>
      </c>
      <c r="AA271" s="13"/>
      <c r="AB271" s="13"/>
      <c r="AC271" s="13"/>
      <c r="AD271" s="13"/>
      <c r="AE271" s="13"/>
      <c r="AF271" s="13"/>
      <c r="AG271" s="13"/>
      <c r="AH271" s="13"/>
      <c r="AI271" s="13"/>
      <c r="AJ271" s="18">
        <v>3</v>
      </c>
      <c r="AK271" s="13"/>
      <c r="AL271" s="18">
        <v>3</v>
      </c>
      <c r="AM271" s="13"/>
      <c r="AN271" s="13"/>
      <c r="AO271" s="13"/>
      <c r="AP271" s="18">
        <v>0</v>
      </c>
      <c r="AQ271" s="18">
        <v>0</v>
      </c>
      <c r="AR271" s="13"/>
      <c r="AS271" s="13"/>
      <c r="AT271" s="13"/>
      <c r="AU271" s="13"/>
      <c r="AV271" s="13"/>
      <c r="AW271" s="13"/>
      <c r="AX271" s="18">
        <v>0</v>
      </c>
      <c r="AY271" s="13"/>
      <c r="AZ271" s="18">
        <v>0</v>
      </c>
      <c r="BA271" s="13"/>
      <c r="BB271" s="18">
        <v>0</v>
      </c>
      <c r="BC271" s="13"/>
      <c r="BD271" s="18">
        <v>0</v>
      </c>
    </row>
    <row r="272" spans="1:56" ht="15" hidden="1" customHeight="1" outlineLevel="1" x14ac:dyDescent="0.3">
      <c r="A272" s="3"/>
      <c r="B272" s="4">
        <v>12</v>
      </c>
      <c r="C272" s="4">
        <v>10</v>
      </c>
      <c r="D272" s="3" t="s">
        <v>206</v>
      </c>
      <c r="E272" s="13"/>
      <c r="F272" s="14"/>
      <c r="G272" s="14"/>
      <c r="H272" s="14"/>
      <c r="I272" s="14"/>
      <c r="J272" s="15">
        <v>0</v>
      </c>
      <c r="K272" s="14"/>
      <c r="L272" s="15">
        <v>0</v>
      </c>
      <c r="M272" s="14"/>
      <c r="N272" s="15">
        <v>0</v>
      </c>
      <c r="O272" s="14"/>
      <c r="P272" s="15">
        <v>0</v>
      </c>
      <c r="Q272" s="14"/>
      <c r="R272" s="16"/>
      <c r="S272" s="13"/>
      <c r="T272" s="39">
        <v>0</v>
      </c>
      <c r="U272" s="13"/>
      <c r="V272" s="39">
        <v>0</v>
      </c>
      <c r="W272" s="13"/>
      <c r="X272" s="39">
        <v>0</v>
      </c>
      <c r="Y272" s="13"/>
      <c r="Z272" s="39">
        <v>0</v>
      </c>
      <c r="AA272" s="13"/>
      <c r="AB272" s="13"/>
      <c r="AC272" s="13"/>
      <c r="AD272" s="13"/>
      <c r="AE272" s="13"/>
      <c r="AF272" s="13"/>
      <c r="AG272" s="13"/>
      <c r="AH272" s="13"/>
      <c r="AI272" s="13"/>
      <c r="AJ272" s="18">
        <v>7</v>
      </c>
      <c r="AK272" s="13"/>
      <c r="AL272" s="18">
        <v>7</v>
      </c>
      <c r="AM272" s="13"/>
      <c r="AN272" s="13"/>
      <c r="AO272" s="13"/>
      <c r="AP272" s="18">
        <v>0</v>
      </c>
      <c r="AQ272" s="18">
        <v>0</v>
      </c>
      <c r="AR272" s="13"/>
      <c r="AS272" s="13"/>
      <c r="AT272" s="13"/>
      <c r="AU272" s="13"/>
      <c r="AV272" s="13"/>
      <c r="AW272" s="13"/>
      <c r="AX272" s="18">
        <v>0</v>
      </c>
      <c r="AY272" s="13"/>
      <c r="AZ272" s="18">
        <v>0</v>
      </c>
      <c r="BA272" s="13"/>
      <c r="BB272" s="18">
        <v>0</v>
      </c>
      <c r="BC272" s="13"/>
      <c r="BD272" s="18">
        <v>0</v>
      </c>
    </row>
    <row r="273" spans="1:56" ht="15" hidden="1" customHeight="1" outlineLevel="1" x14ac:dyDescent="0.3">
      <c r="A273" s="3"/>
      <c r="B273" s="4">
        <v>9</v>
      </c>
      <c r="C273" s="4">
        <v>5</v>
      </c>
      <c r="D273" s="3" t="s">
        <v>207</v>
      </c>
      <c r="E273" s="13"/>
      <c r="F273" s="14"/>
      <c r="G273" s="14"/>
      <c r="H273" s="14"/>
      <c r="I273" s="14"/>
      <c r="J273" s="15">
        <v>0</v>
      </c>
      <c r="K273" s="14"/>
      <c r="L273" s="15">
        <v>0</v>
      </c>
      <c r="M273" s="14"/>
      <c r="N273" s="15">
        <v>0</v>
      </c>
      <c r="O273" s="14"/>
      <c r="P273" s="15">
        <v>0</v>
      </c>
      <c r="Q273" s="14"/>
      <c r="R273" s="16"/>
      <c r="S273" s="13"/>
      <c r="T273" s="39">
        <v>15</v>
      </c>
      <c r="U273" s="13"/>
      <c r="V273" s="39" t="s">
        <v>333</v>
      </c>
      <c r="W273" s="13"/>
      <c r="X273" s="39" t="s">
        <v>333</v>
      </c>
      <c r="Y273" s="13"/>
      <c r="Z273" s="39" t="s">
        <v>333</v>
      </c>
      <c r="AA273" s="13"/>
      <c r="AB273" s="13"/>
      <c r="AC273" s="13"/>
      <c r="AD273" s="13"/>
      <c r="AE273" s="13"/>
      <c r="AF273" s="13"/>
      <c r="AG273" s="13"/>
      <c r="AH273" s="13"/>
      <c r="AI273" s="13"/>
      <c r="AJ273" s="18">
        <v>0</v>
      </c>
      <c r="AK273" s="13"/>
      <c r="AL273" s="18">
        <v>0</v>
      </c>
      <c r="AM273" s="13"/>
      <c r="AN273" s="13"/>
      <c r="AO273" s="13"/>
      <c r="AP273" s="18">
        <v>7</v>
      </c>
      <c r="AQ273" s="18">
        <v>7</v>
      </c>
      <c r="AR273" s="13"/>
      <c r="AS273" s="13"/>
      <c r="AT273" s="13"/>
      <c r="AU273" s="13"/>
      <c r="AV273" s="13"/>
      <c r="AW273" s="13"/>
      <c r="AX273" s="18">
        <v>0</v>
      </c>
      <c r="AY273" s="13"/>
      <c r="AZ273" s="18">
        <v>0</v>
      </c>
      <c r="BA273" s="13"/>
      <c r="BB273" s="18">
        <v>0</v>
      </c>
      <c r="BC273" s="13"/>
      <c r="BD273" s="18">
        <v>0</v>
      </c>
    </row>
    <row r="274" spans="1:56" ht="15" hidden="1" customHeight="1" outlineLevel="1" x14ac:dyDescent="0.3">
      <c r="A274" s="3"/>
      <c r="B274" s="4">
        <v>4</v>
      </c>
      <c r="C274" s="4">
        <v>0</v>
      </c>
      <c r="D274" s="3" t="s">
        <v>208</v>
      </c>
      <c r="E274" s="13"/>
      <c r="F274" s="14"/>
      <c r="G274" s="14"/>
      <c r="H274" s="14"/>
      <c r="I274" s="14"/>
      <c r="J274" s="15">
        <v>0</v>
      </c>
      <c r="K274" s="14"/>
      <c r="L274" s="15">
        <v>0</v>
      </c>
      <c r="M274" s="14"/>
      <c r="N274" s="15">
        <v>0</v>
      </c>
      <c r="O274" s="14"/>
      <c r="P274" s="15">
        <v>0</v>
      </c>
      <c r="Q274" s="14"/>
      <c r="R274" s="16"/>
      <c r="S274" s="13"/>
      <c r="T274" s="39">
        <v>19</v>
      </c>
      <c r="U274" s="13"/>
      <c r="V274" s="39" t="s">
        <v>311</v>
      </c>
      <c r="W274" s="13"/>
      <c r="X274" s="39" t="s">
        <v>311</v>
      </c>
      <c r="Y274" s="13"/>
      <c r="Z274" s="39" t="s">
        <v>311</v>
      </c>
      <c r="AA274" s="13"/>
      <c r="AB274" s="13"/>
      <c r="AC274" s="13"/>
      <c r="AD274" s="13"/>
      <c r="AE274" s="13"/>
      <c r="AF274" s="13"/>
      <c r="AG274" s="13"/>
      <c r="AH274" s="13"/>
      <c r="AI274" s="13"/>
      <c r="AJ274" s="18">
        <v>0</v>
      </c>
      <c r="AK274" s="13"/>
      <c r="AL274" s="18">
        <v>0</v>
      </c>
      <c r="AM274" s="13"/>
      <c r="AN274" s="13"/>
      <c r="AO274" s="13"/>
      <c r="AP274" s="18" t="s">
        <v>376</v>
      </c>
      <c r="AQ274" s="18" t="s">
        <v>376</v>
      </c>
      <c r="AR274" s="13"/>
      <c r="AS274" s="13"/>
      <c r="AT274" s="13"/>
      <c r="AU274" s="13"/>
      <c r="AV274" s="13"/>
      <c r="AW274" s="13"/>
      <c r="AX274" s="18">
        <v>9</v>
      </c>
      <c r="AY274" s="13"/>
      <c r="AZ274" s="18" t="s">
        <v>117</v>
      </c>
      <c r="BA274" s="13"/>
      <c r="BB274" s="18" t="s">
        <v>117</v>
      </c>
      <c r="BC274" s="13"/>
      <c r="BD274" s="18">
        <v>0</v>
      </c>
    </row>
    <row r="275" spans="1:56" collapsed="1" x14ac:dyDescent="0.3">
      <c r="A275" s="1" t="s">
        <v>147</v>
      </c>
      <c r="B275" s="2"/>
      <c r="C275" s="2"/>
      <c r="D275" s="1"/>
      <c r="E275" s="13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7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20" t="str">
        <f>BitsTo32Bit(AW276:AW281)</f>
        <v>10</v>
      </c>
      <c r="AX275" s="14"/>
      <c r="AY275" s="13"/>
      <c r="AZ275" s="13"/>
      <c r="BA275" s="13"/>
      <c r="BB275" s="13"/>
      <c r="BC275" s="13"/>
      <c r="BD275" s="20" t="str">
        <f>BitsTo32Bit(BD276:BD281)</f>
        <v>0</v>
      </c>
    </row>
    <row r="276" spans="1:56" hidden="1" outlineLevel="1" x14ac:dyDescent="0.3">
      <c r="A276" s="1"/>
      <c r="B276" s="2">
        <v>31</v>
      </c>
      <c r="C276" s="2">
        <v>7</v>
      </c>
      <c r="D276" s="1" t="s">
        <v>1</v>
      </c>
      <c r="E276" s="13"/>
      <c r="F276" s="16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7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5">
        <v>0</v>
      </c>
      <c r="AX276" s="16"/>
      <c r="AY276" s="13"/>
      <c r="AZ276" s="13"/>
      <c r="BA276" s="13"/>
      <c r="BB276" s="13"/>
      <c r="BC276" s="13"/>
      <c r="BD276" s="15">
        <v>0</v>
      </c>
    </row>
    <row r="277" spans="1:56" hidden="1" outlineLevel="1" x14ac:dyDescent="0.3">
      <c r="A277" s="1"/>
      <c r="B277" s="2">
        <v>6</v>
      </c>
      <c r="C277" s="2">
        <v>6</v>
      </c>
      <c r="D277" s="1" t="s">
        <v>148</v>
      </c>
      <c r="E277" s="13"/>
      <c r="F277" s="16"/>
      <c r="G277" s="14"/>
      <c r="H277" s="41"/>
      <c r="I277" s="14"/>
      <c r="J277" s="14"/>
      <c r="K277" s="14"/>
      <c r="L277" s="14"/>
      <c r="M277" s="14"/>
      <c r="N277" s="14"/>
      <c r="O277" s="14"/>
      <c r="P277" s="14"/>
      <c r="Q277" s="14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7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5">
        <v>0</v>
      </c>
      <c r="AX277" s="16"/>
      <c r="AY277" s="13"/>
      <c r="AZ277" s="13"/>
      <c r="BA277" s="13"/>
      <c r="BB277" s="13"/>
      <c r="BC277" s="13"/>
      <c r="BD277" s="15">
        <v>0</v>
      </c>
    </row>
    <row r="278" spans="1:56" hidden="1" outlineLevel="1" x14ac:dyDescent="0.3">
      <c r="A278" s="1"/>
      <c r="B278" s="2">
        <v>5</v>
      </c>
      <c r="C278" s="2">
        <v>5</v>
      </c>
      <c r="D278" s="1" t="s">
        <v>149</v>
      </c>
      <c r="E278" s="13"/>
      <c r="F278" s="16"/>
      <c r="G278" s="14"/>
      <c r="H278" s="41"/>
      <c r="I278" s="14"/>
      <c r="J278" s="14"/>
      <c r="K278" s="14"/>
      <c r="L278" s="14"/>
      <c r="M278" s="14"/>
      <c r="N278" s="14"/>
      <c r="O278" s="14"/>
      <c r="P278" s="14"/>
      <c r="Q278" s="14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7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5">
        <v>0</v>
      </c>
      <c r="AX278" s="16"/>
      <c r="AY278" s="13"/>
      <c r="AZ278" s="13"/>
      <c r="BA278" s="13"/>
      <c r="BB278" s="13"/>
      <c r="BC278" s="13"/>
      <c r="BD278" s="15">
        <v>0</v>
      </c>
    </row>
    <row r="279" spans="1:56" hidden="1" outlineLevel="1" x14ac:dyDescent="0.3">
      <c r="A279" s="1"/>
      <c r="B279" s="2">
        <v>4</v>
      </c>
      <c r="C279" s="2">
        <v>4</v>
      </c>
      <c r="D279" s="1" t="s">
        <v>150</v>
      </c>
      <c r="E279" s="13"/>
      <c r="F279" s="16"/>
      <c r="G279" s="14"/>
      <c r="H279" s="41"/>
      <c r="I279" s="14"/>
      <c r="J279" s="14"/>
      <c r="K279" s="14"/>
      <c r="L279" s="14"/>
      <c r="M279" s="14"/>
      <c r="N279" s="14"/>
      <c r="O279" s="14"/>
      <c r="P279" s="14"/>
      <c r="Q279" s="14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7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5">
        <v>1</v>
      </c>
      <c r="AX279" s="16"/>
      <c r="AY279" s="13"/>
      <c r="AZ279" s="13"/>
      <c r="BA279" s="13"/>
      <c r="BB279" s="13"/>
      <c r="BC279" s="13"/>
      <c r="BD279" s="15">
        <v>0</v>
      </c>
    </row>
    <row r="280" spans="1:56" hidden="1" outlineLevel="1" x14ac:dyDescent="0.3">
      <c r="A280" s="1"/>
      <c r="B280" s="2">
        <v>3</v>
      </c>
      <c r="C280" s="2">
        <v>3</v>
      </c>
      <c r="D280" s="1" t="s">
        <v>151</v>
      </c>
      <c r="E280" s="13"/>
      <c r="F280" s="16"/>
      <c r="G280" s="14"/>
      <c r="H280" s="41"/>
      <c r="I280" s="14"/>
      <c r="J280" s="14"/>
      <c r="K280" s="14"/>
      <c r="L280" s="14"/>
      <c r="M280" s="14"/>
      <c r="N280" s="14"/>
      <c r="O280" s="14"/>
      <c r="P280" s="14"/>
      <c r="Q280" s="14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7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5">
        <v>0</v>
      </c>
      <c r="AX280" s="16"/>
      <c r="AY280" s="13"/>
      <c r="AZ280" s="13"/>
      <c r="BA280" s="13"/>
      <c r="BB280" s="13"/>
      <c r="BC280" s="13"/>
      <c r="BD280" s="15">
        <v>0</v>
      </c>
    </row>
    <row r="281" spans="1:56" hidden="1" outlineLevel="1" x14ac:dyDescent="0.3">
      <c r="A281" s="1"/>
      <c r="B281" s="2">
        <v>2</v>
      </c>
      <c r="C281" s="2">
        <v>0</v>
      </c>
      <c r="D281" s="1" t="s">
        <v>152</v>
      </c>
      <c r="E281" s="13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7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52">
        <v>0</v>
      </c>
      <c r="AX281" s="16"/>
      <c r="AY281" s="13"/>
      <c r="AZ281" s="13"/>
      <c r="BA281" s="13"/>
      <c r="BB281" s="13"/>
      <c r="BC281" s="13"/>
      <c r="BD281" s="52">
        <v>0</v>
      </c>
    </row>
    <row r="282" spans="1:56" ht="15" customHeight="1" collapsed="1" x14ac:dyDescent="0.3">
      <c r="A282" s="1" t="s">
        <v>334</v>
      </c>
      <c r="B282" s="2"/>
      <c r="C282" s="2"/>
      <c r="D282" s="1"/>
      <c r="E282" s="13"/>
      <c r="F282" s="14"/>
      <c r="G282" s="14"/>
      <c r="H282" s="14"/>
      <c r="I282" s="14"/>
      <c r="J282" s="20" t="str">
        <f>BitsTo32Bit(J283:J290)</f>
        <v>0230104</v>
      </c>
      <c r="K282" s="14"/>
      <c r="L282" s="14"/>
      <c r="M282" s="14"/>
      <c r="N282" s="14"/>
      <c r="O282" s="14"/>
      <c r="P282" s="14"/>
      <c r="Q282" s="14"/>
      <c r="R282" s="13"/>
      <c r="S282" s="13"/>
      <c r="T282" s="38" t="str">
        <f>BitsTo32Bit(T283:T290)</f>
        <v>085</v>
      </c>
      <c r="U282" s="13"/>
      <c r="V282" s="38" t="str">
        <f>BitsTo32Bit(V283:V290)</f>
        <v>085</v>
      </c>
      <c r="W282" s="13"/>
      <c r="X282" s="38" t="str">
        <f>BitsTo32Bit(X283:X290)</f>
        <v>086</v>
      </c>
      <c r="Y282" s="13"/>
      <c r="Z282" s="38" t="str">
        <f>BitsTo32Bit(Z283:Z290)</f>
        <v>087</v>
      </c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7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20" t="str">
        <f>BitsTo32Bit(AX283:AX290)</f>
        <v>0230104</v>
      </c>
      <c r="AY282" s="13"/>
      <c r="AZ282" s="20" t="str">
        <f>BitsTo32Bit(AZ283:AZ290)</f>
        <v>15</v>
      </c>
      <c r="BA282" s="13"/>
      <c r="BB282" s="20" t="str">
        <f>BitsTo32Bit(BB283:BB290)</f>
        <v>16</v>
      </c>
      <c r="BC282" s="13"/>
      <c r="BD282" s="20" t="str">
        <f>BitsTo32Bit(BD283:BD290)</f>
        <v>0</v>
      </c>
    </row>
    <row r="283" spans="1:56" ht="15" hidden="1" customHeight="1" outlineLevel="1" x14ac:dyDescent="0.3">
      <c r="A283" s="1"/>
      <c r="B283" s="2">
        <v>31</v>
      </c>
      <c r="C283" s="2">
        <v>24</v>
      </c>
      <c r="D283" s="1" t="s">
        <v>1</v>
      </c>
      <c r="E283" s="13"/>
      <c r="F283" s="14"/>
      <c r="G283" s="14"/>
      <c r="H283" s="14"/>
      <c r="I283" s="14"/>
      <c r="J283" s="18">
        <v>0</v>
      </c>
      <c r="K283" s="14"/>
      <c r="L283" s="14"/>
      <c r="M283" s="14"/>
      <c r="N283" s="14"/>
      <c r="O283" s="14"/>
      <c r="P283" s="14"/>
      <c r="Q283" s="14"/>
      <c r="R283" s="13"/>
      <c r="S283" s="13"/>
      <c r="T283" s="39">
        <v>0</v>
      </c>
      <c r="U283" s="13"/>
      <c r="V283" s="39">
        <v>0</v>
      </c>
      <c r="W283" s="13"/>
      <c r="X283" s="39">
        <v>0</v>
      </c>
      <c r="Y283" s="13"/>
      <c r="Z283" s="39">
        <v>0</v>
      </c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7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8">
        <v>0</v>
      </c>
      <c r="AY283" s="13"/>
      <c r="AZ283" s="18">
        <v>0</v>
      </c>
      <c r="BA283" s="13"/>
      <c r="BB283" s="18">
        <v>0</v>
      </c>
      <c r="BC283" s="13"/>
      <c r="BD283" s="18">
        <v>0</v>
      </c>
    </row>
    <row r="284" spans="1:56" ht="15" hidden="1" customHeight="1" outlineLevel="1" x14ac:dyDescent="0.3">
      <c r="A284" s="1"/>
      <c r="B284" s="2">
        <v>23</v>
      </c>
      <c r="C284" s="2">
        <v>16</v>
      </c>
      <c r="D284" s="1" t="s">
        <v>190</v>
      </c>
      <c r="E284" s="13"/>
      <c r="F284" s="14"/>
      <c r="G284" s="14"/>
      <c r="H284" s="14"/>
      <c r="I284" s="14"/>
      <c r="J284" s="18">
        <v>23</v>
      </c>
      <c r="K284" s="14"/>
      <c r="L284" s="14"/>
      <c r="M284" s="14"/>
      <c r="N284" s="14"/>
      <c r="O284" s="14"/>
      <c r="P284" s="14"/>
      <c r="Q284" s="14"/>
      <c r="R284" s="13"/>
      <c r="S284" s="13"/>
      <c r="T284" s="39">
        <v>0</v>
      </c>
      <c r="U284" s="13"/>
      <c r="V284" s="39">
        <v>0</v>
      </c>
      <c r="W284" s="13"/>
      <c r="X284" s="39">
        <v>0</v>
      </c>
      <c r="Y284" s="13"/>
      <c r="Z284" s="39">
        <v>0</v>
      </c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7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8">
        <v>23</v>
      </c>
      <c r="AY284" s="13"/>
      <c r="AZ284" s="18">
        <v>0</v>
      </c>
      <c r="BA284" s="13"/>
      <c r="BB284" s="18">
        <v>0</v>
      </c>
      <c r="BC284" s="13"/>
      <c r="BD284" s="18">
        <v>0</v>
      </c>
    </row>
    <row r="285" spans="1:56" ht="15" hidden="1" customHeight="1" outlineLevel="1" x14ac:dyDescent="0.3">
      <c r="A285" s="1"/>
      <c r="B285" s="2">
        <v>15</v>
      </c>
      <c r="C285" s="2">
        <v>9</v>
      </c>
      <c r="D285" s="1" t="s">
        <v>1</v>
      </c>
      <c r="E285" s="13"/>
      <c r="F285" s="14"/>
      <c r="G285" s="14"/>
      <c r="H285" s="14"/>
      <c r="I285" s="14"/>
      <c r="J285" s="18">
        <v>0</v>
      </c>
      <c r="K285" s="14"/>
      <c r="L285" s="14"/>
      <c r="M285" s="14"/>
      <c r="N285" s="14"/>
      <c r="O285" s="14"/>
      <c r="P285" s="14"/>
      <c r="Q285" s="14"/>
      <c r="R285" s="13"/>
      <c r="S285" s="13"/>
      <c r="T285" s="39">
        <v>0</v>
      </c>
      <c r="U285" s="13"/>
      <c r="V285" s="39">
        <v>0</v>
      </c>
      <c r="W285" s="13"/>
      <c r="X285" s="39">
        <v>0</v>
      </c>
      <c r="Y285" s="13"/>
      <c r="Z285" s="39">
        <v>0</v>
      </c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7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8">
        <v>0</v>
      </c>
      <c r="AY285" s="13"/>
      <c r="AZ285" s="18">
        <v>0</v>
      </c>
      <c r="BA285" s="13"/>
      <c r="BB285" s="18">
        <v>0</v>
      </c>
      <c r="BC285" s="13"/>
      <c r="BD285" s="18">
        <v>0</v>
      </c>
    </row>
    <row r="286" spans="1:56" ht="15" hidden="1" customHeight="1" outlineLevel="1" x14ac:dyDescent="0.3">
      <c r="A286" s="1"/>
      <c r="B286" s="2">
        <v>8</v>
      </c>
      <c r="C286" s="2">
        <v>8</v>
      </c>
      <c r="D286" s="1" t="s">
        <v>191</v>
      </c>
      <c r="E286" s="13"/>
      <c r="F286" s="14"/>
      <c r="G286" s="14"/>
      <c r="H286" s="14"/>
      <c r="I286" s="14"/>
      <c r="J286" s="18">
        <v>1</v>
      </c>
      <c r="K286" s="14"/>
      <c r="L286" s="14"/>
      <c r="M286" s="14"/>
      <c r="N286" s="14"/>
      <c r="O286" s="14"/>
      <c r="P286" s="14"/>
      <c r="Q286" s="14"/>
      <c r="R286" s="13"/>
      <c r="S286" s="13"/>
      <c r="T286" s="39">
        <v>0</v>
      </c>
      <c r="U286" s="13"/>
      <c r="V286" s="39">
        <v>0</v>
      </c>
      <c r="W286" s="13"/>
      <c r="X286" s="39">
        <v>0</v>
      </c>
      <c r="Y286" s="13"/>
      <c r="Z286" s="39">
        <v>0</v>
      </c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7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8">
        <v>1</v>
      </c>
      <c r="AY286" s="13"/>
      <c r="AZ286" s="18">
        <v>0</v>
      </c>
      <c r="BA286" s="13"/>
      <c r="BB286" s="18">
        <v>0</v>
      </c>
      <c r="BC286" s="13"/>
      <c r="BD286" s="18">
        <v>0</v>
      </c>
    </row>
    <row r="287" spans="1:56" ht="15" hidden="1" customHeight="1" outlineLevel="1" x14ac:dyDescent="0.3">
      <c r="A287" s="1"/>
      <c r="B287" s="2">
        <v>7</v>
      </c>
      <c r="C287" s="2">
        <v>7</v>
      </c>
      <c r="D287" s="1" t="s">
        <v>192</v>
      </c>
      <c r="E287" s="13"/>
      <c r="F287" s="14"/>
      <c r="G287" s="14"/>
      <c r="H287" s="14"/>
      <c r="I287" s="14"/>
      <c r="J287" s="18">
        <v>0</v>
      </c>
      <c r="K287" s="14"/>
      <c r="L287" s="14"/>
      <c r="M287" s="14"/>
      <c r="N287" s="14"/>
      <c r="O287" s="14"/>
      <c r="P287" s="14"/>
      <c r="Q287" s="14"/>
      <c r="R287" s="13"/>
      <c r="S287" s="13"/>
      <c r="T287" s="39">
        <v>1</v>
      </c>
      <c r="U287" s="13"/>
      <c r="V287" s="39">
        <v>1</v>
      </c>
      <c r="W287" s="13"/>
      <c r="X287" s="39">
        <v>1</v>
      </c>
      <c r="Y287" s="13"/>
      <c r="Z287" s="39">
        <v>1</v>
      </c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7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8">
        <v>0</v>
      </c>
      <c r="AY287" s="13"/>
      <c r="AZ287" s="18">
        <v>0</v>
      </c>
      <c r="BA287" s="13"/>
      <c r="BB287" s="18">
        <v>0</v>
      </c>
      <c r="BC287" s="13"/>
      <c r="BD287" s="18">
        <v>0</v>
      </c>
    </row>
    <row r="288" spans="1:56" ht="15" hidden="1" customHeight="1" outlineLevel="1" x14ac:dyDescent="0.3">
      <c r="A288" s="1"/>
      <c r="B288" s="2">
        <v>6</v>
      </c>
      <c r="C288" s="2">
        <v>4</v>
      </c>
      <c r="D288" s="1" t="s">
        <v>193</v>
      </c>
      <c r="E288" s="13"/>
      <c r="F288" s="14"/>
      <c r="G288" s="14"/>
      <c r="H288" s="14"/>
      <c r="I288" s="14"/>
      <c r="J288" s="18">
        <v>0</v>
      </c>
      <c r="K288" s="14"/>
      <c r="L288" s="14"/>
      <c r="M288" s="14"/>
      <c r="N288" s="14"/>
      <c r="O288" s="14"/>
      <c r="P288" s="14"/>
      <c r="Q288" s="14"/>
      <c r="R288" s="13"/>
      <c r="S288" s="13"/>
      <c r="T288" s="39">
        <v>0</v>
      </c>
      <c r="U288" s="13"/>
      <c r="V288" s="39">
        <v>0</v>
      </c>
      <c r="W288" s="13"/>
      <c r="X288" s="39">
        <v>0</v>
      </c>
      <c r="Y288" s="13"/>
      <c r="Z288" s="39">
        <v>0</v>
      </c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7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8">
        <v>0</v>
      </c>
      <c r="AY288" s="13"/>
      <c r="AZ288" s="18">
        <v>1</v>
      </c>
      <c r="BA288" s="13"/>
      <c r="BB288" s="18">
        <v>1</v>
      </c>
      <c r="BC288" s="13"/>
      <c r="BD288" s="18">
        <v>0</v>
      </c>
    </row>
    <row r="289" spans="1:58" ht="15" hidden="1" customHeight="1" outlineLevel="1" x14ac:dyDescent="0.3">
      <c r="A289" s="1"/>
      <c r="B289" s="2">
        <v>3</v>
      </c>
      <c r="C289" s="2">
        <v>3</v>
      </c>
      <c r="D289" s="1" t="s">
        <v>194</v>
      </c>
      <c r="E289" s="13"/>
      <c r="F289" s="14"/>
      <c r="G289" s="14"/>
      <c r="H289" s="14"/>
      <c r="I289" s="14"/>
      <c r="J289" s="18">
        <v>0</v>
      </c>
      <c r="K289" s="14"/>
      <c r="L289" s="14"/>
      <c r="M289" s="14"/>
      <c r="N289" s="14"/>
      <c r="O289" s="14"/>
      <c r="P289" s="14"/>
      <c r="Q289" s="14"/>
      <c r="R289" s="13"/>
      <c r="S289" s="13"/>
      <c r="T289" s="39">
        <v>0</v>
      </c>
      <c r="U289" s="13"/>
      <c r="V289" s="39">
        <v>0</v>
      </c>
      <c r="W289" s="13"/>
      <c r="X289" s="39">
        <v>0</v>
      </c>
      <c r="Y289" s="13"/>
      <c r="Z289" s="39">
        <v>0</v>
      </c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7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8">
        <v>0</v>
      </c>
      <c r="AY289" s="13"/>
      <c r="AZ289" s="18">
        <v>0</v>
      </c>
      <c r="BA289" s="13"/>
      <c r="BB289" s="18">
        <v>0</v>
      </c>
      <c r="BC289" s="13"/>
      <c r="BD289" s="18">
        <v>0</v>
      </c>
    </row>
    <row r="290" spans="1:58" ht="15" hidden="1" customHeight="1" outlineLevel="1" x14ac:dyDescent="0.3">
      <c r="A290" s="1"/>
      <c r="B290" s="2">
        <v>2</v>
      </c>
      <c r="C290" s="2">
        <v>0</v>
      </c>
      <c r="D290" s="1" t="s">
        <v>195</v>
      </c>
      <c r="E290" s="13"/>
      <c r="F290" s="14"/>
      <c r="G290" s="14"/>
      <c r="H290" s="14"/>
      <c r="I290" s="14"/>
      <c r="J290" s="18">
        <v>4</v>
      </c>
      <c r="K290" s="14"/>
      <c r="L290" s="14"/>
      <c r="M290" s="14"/>
      <c r="N290" s="14"/>
      <c r="O290" s="14"/>
      <c r="P290" s="14"/>
      <c r="Q290" s="14"/>
      <c r="R290" s="13"/>
      <c r="S290" s="13"/>
      <c r="T290" s="39">
        <v>5</v>
      </c>
      <c r="U290" s="13"/>
      <c r="V290" s="39">
        <v>5</v>
      </c>
      <c r="W290" s="13"/>
      <c r="X290" s="39">
        <v>6</v>
      </c>
      <c r="Y290" s="13"/>
      <c r="Z290" s="39">
        <v>7</v>
      </c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7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8">
        <v>4</v>
      </c>
      <c r="AY290" s="13"/>
      <c r="AZ290" s="18">
        <v>5</v>
      </c>
      <c r="BA290" s="13"/>
      <c r="BB290" s="18">
        <v>6</v>
      </c>
      <c r="BC290" s="13"/>
      <c r="BD290" s="18">
        <v>0</v>
      </c>
    </row>
    <row r="291" spans="1:58" ht="15" customHeight="1" collapsed="1" x14ac:dyDescent="0.3">
      <c r="A291" s="1" t="s">
        <v>335</v>
      </c>
      <c r="B291" s="2"/>
      <c r="C291" s="2"/>
      <c r="D291" s="1"/>
      <c r="E291" s="13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3"/>
      <c r="S291" s="13"/>
      <c r="T291" s="38" t="str">
        <f>BitsTo32Bit(T292:T293)</f>
        <v>1F</v>
      </c>
      <c r="U291" s="13"/>
      <c r="V291" s="38" t="str">
        <f>BitsTo32Bit(V292:V293)</f>
        <v>3</v>
      </c>
      <c r="W291" s="13"/>
      <c r="X291" s="38" t="str">
        <f>BitsTo32Bit(X292:X293)</f>
        <v>3</v>
      </c>
      <c r="Y291" s="13"/>
      <c r="Z291" s="38" t="str">
        <f>BitsTo32Bit(Z292:Z293)</f>
        <v>3</v>
      </c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7"/>
      <c r="AM291" s="13"/>
      <c r="AN291" s="13"/>
      <c r="AO291" s="13"/>
      <c r="AP291" s="20" t="str">
        <f>BitsTo32Bit(AP292:AP293)</f>
        <v>02841</v>
      </c>
      <c r="AQ291" s="20" t="str">
        <f>BitsTo32Bit(AQ292:AQ293)</f>
        <v>02841</v>
      </c>
      <c r="AR291" s="13"/>
      <c r="AS291" s="13"/>
      <c r="AT291" s="13"/>
      <c r="AU291" s="13"/>
      <c r="AV291" s="13"/>
      <c r="AW291" s="13"/>
      <c r="AX291" s="14"/>
      <c r="AY291" s="13"/>
      <c r="AZ291" s="14"/>
      <c r="BA291" s="13"/>
      <c r="BB291" s="14"/>
      <c r="BC291" s="13"/>
      <c r="BD291" s="38" t="str">
        <f>BitsTo32Bit(BD292:BD293)</f>
        <v>0</v>
      </c>
    </row>
    <row r="292" spans="1:58" ht="15" hidden="1" customHeight="1" outlineLevel="1" x14ac:dyDescent="0.3">
      <c r="A292" s="1"/>
      <c r="B292" s="2">
        <v>31</v>
      </c>
      <c r="C292" s="2">
        <v>28</v>
      </c>
      <c r="D292" s="1" t="s">
        <v>1</v>
      </c>
      <c r="E292" s="13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3"/>
      <c r="S292" s="13"/>
      <c r="T292" s="39">
        <v>0</v>
      </c>
      <c r="U292" s="13"/>
      <c r="V292" s="39">
        <v>0</v>
      </c>
      <c r="W292" s="13"/>
      <c r="X292" s="39">
        <v>0</v>
      </c>
      <c r="Y292" s="13"/>
      <c r="Z292" s="39">
        <v>0</v>
      </c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7"/>
      <c r="AM292" s="13"/>
      <c r="AN292" s="13"/>
      <c r="AO292" s="13"/>
      <c r="AP292" s="18">
        <v>0</v>
      </c>
      <c r="AQ292" s="18">
        <v>0</v>
      </c>
      <c r="AR292" s="13"/>
      <c r="AS292" s="13"/>
      <c r="AT292" s="13"/>
      <c r="AU292" s="13"/>
      <c r="AV292" s="13"/>
      <c r="AW292" s="13"/>
      <c r="AX292" s="14"/>
      <c r="AY292" s="13"/>
      <c r="AZ292" s="14"/>
      <c r="BA292" s="13"/>
      <c r="BB292" s="14"/>
      <c r="BC292" s="13"/>
      <c r="BD292" s="39">
        <v>0</v>
      </c>
    </row>
    <row r="293" spans="1:58" ht="15" hidden="1" customHeight="1" outlineLevel="1" x14ac:dyDescent="0.3">
      <c r="A293" s="1"/>
      <c r="B293" s="2">
        <v>27</v>
      </c>
      <c r="C293" s="2">
        <v>0</v>
      </c>
      <c r="D293" s="1" t="s">
        <v>336</v>
      </c>
      <c r="E293" s="13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3"/>
      <c r="S293" s="13"/>
      <c r="T293" s="39" t="s">
        <v>175</v>
      </c>
      <c r="U293" s="13"/>
      <c r="V293" s="39">
        <v>3</v>
      </c>
      <c r="W293" s="13"/>
      <c r="X293" s="39">
        <v>3</v>
      </c>
      <c r="Y293" s="13"/>
      <c r="Z293" s="39">
        <v>3</v>
      </c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7"/>
      <c r="AM293" s="13"/>
      <c r="AN293" s="13"/>
      <c r="AO293" s="13"/>
      <c r="AP293" s="18">
        <v>2841</v>
      </c>
      <c r="AQ293" s="18">
        <v>2841</v>
      </c>
      <c r="AR293" s="13"/>
      <c r="AS293" s="13"/>
      <c r="AT293" s="13"/>
      <c r="AU293" s="13"/>
      <c r="AV293" s="13"/>
      <c r="AW293" s="13"/>
      <c r="AX293" s="14"/>
      <c r="AY293" s="13"/>
      <c r="AZ293" s="14"/>
      <c r="BA293" s="13"/>
      <c r="BB293" s="14"/>
      <c r="BC293" s="13"/>
      <c r="BD293" s="39">
        <v>0</v>
      </c>
    </row>
    <row r="294" spans="1:58" ht="15" customHeight="1" collapsed="1" x14ac:dyDescent="0.3">
      <c r="A294" s="1" t="s">
        <v>395</v>
      </c>
      <c r="B294" s="2"/>
      <c r="C294" s="2"/>
      <c r="D294" s="1"/>
      <c r="E294" s="13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3"/>
      <c r="S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7"/>
      <c r="AM294" s="13"/>
      <c r="AN294" s="13"/>
      <c r="AO294" s="13"/>
      <c r="AP294" s="20" t="str">
        <f>BitsTo32Bit(AP295:AP296)</f>
        <v>0A1</v>
      </c>
      <c r="AQ294" s="20" t="str">
        <f>BitsTo32Bit(AQ295:AQ296)</f>
        <v>0A1</v>
      </c>
      <c r="AR294" s="13"/>
      <c r="AS294" s="13"/>
      <c r="AT294" s="13"/>
      <c r="AU294" s="13"/>
      <c r="AV294" s="13"/>
      <c r="AW294" s="13"/>
      <c r="AX294" s="14"/>
      <c r="AY294" s="13"/>
      <c r="AZ294" s="14"/>
      <c r="BA294" s="13"/>
      <c r="BB294" s="14"/>
      <c r="BC294" s="13"/>
      <c r="BD294" s="38" t="str">
        <f>BitsTo32Bit(BD295:BD296)</f>
        <v>0</v>
      </c>
    </row>
    <row r="295" spans="1:58" ht="15" hidden="1" customHeight="1" outlineLevel="1" x14ac:dyDescent="0.3">
      <c r="A295" s="1"/>
      <c r="B295" s="2">
        <v>31</v>
      </c>
      <c r="C295" s="2">
        <v>28</v>
      </c>
      <c r="D295" s="1" t="s">
        <v>1</v>
      </c>
      <c r="E295" s="13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3"/>
      <c r="S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7"/>
      <c r="AM295" s="13"/>
      <c r="AN295" s="13"/>
      <c r="AO295" s="13"/>
      <c r="AP295" s="18">
        <v>0</v>
      </c>
      <c r="AQ295" s="18">
        <v>0</v>
      </c>
      <c r="AR295" s="13"/>
      <c r="AS295" s="13"/>
      <c r="AT295" s="13"/>
      <c r="AU295" s="13"/>
      <c r="AV295" s="13"/>
      <c r="AW295" s="13"/>
      <c r="AX295" s="14"/>
      <c r="AY295" s="13"/>
      <c r="AZ295" s="14"/>
      <c r="BA295" s="13"/>
      <c r="BB295" s="14"/>
      <c r="BC295" s="13"/>
      <c r="BD295" s="39">
        <v>0</v>
      </c>
    </row>
    <row r="296" spans="1:58" ht="15" hidden="1" customHeight="1" outlineLevel="1" x14ac:dyDescent="0.3">
      <c r="A296" s="1"/>
      <c r="B296" s="2">
        <v>27</v>
      </c>
      <c r="C296" s="2">
        <v>0</v>
      </c>
      <c r="D296" s="1" t="s">
        <v>396</v>
      </c>
      <c r="E296" s="13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3"/>
      <c r="S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7"/>
      <c r="AM296" s="13"/>
      <c r="AN296" s="13"/>
      <c r="AO296" s="13"/>
      <c r="AP296" s="18" t="s">
        <v>397</v>
      </c>
      <c r="AQ296" s="18" t="s">
        <v>397</v>
      </c>
      <c r="AR296" s="13"/>
      <c r="AS296" s="13"/>
      <c r="AT296" s="13"/>
      <c r="AU296" s="13"/>
      <c r="AV296" s="13"/>
      <c r="AW296" s="13"/>
      <c r="AX296" s="14"/>
      <c r="AY296" s="13"/>
      <c r="AZ296" s="14"/>
      <c r="BA296" s="13"/>
      <c r="BB296" s="14"/>
      <c r="BC296" s="13"/>
      <c r="BD296" s="39">
        <v>0</v>
      </c>
    </row>
    <row r="297" spans="1:58" collapsed="1" x14ac:dyDescent="0.3">
      <c r="A297" s="1" t="s">
        <v>423</v>
      </c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BD297" s="73" t="str">
        <f>BitsTo32Bit(BD298:BD326)</f>
        <v>0280000</v>
      </c>
      <c r="BF297"/>
    </row>
    <row r="298" spans="1:58" hidden="1" outlineLevel="1" x14ac:dyDescent="0.3">
      <c r="B298" s="2">
        <v>31</v>
      </c>
      <c r="C298" s="2">
        <v>31</v>
      </c>
      <c r="D298" s="1" t="s">
        <v>424</v>
      </c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BD298" s="74">
        <v>0</v>
      </c>
      <c r="BF298"/>
    </row>
    <row r="299" spans="1:58" hidden="1" outlineLevel="1" x14ac:dyDescent="0.3">
      <c r="B299" s="2">
        <v>30</v>
      </c>
      <c r="C299" s="2">
        <v>30</v>
      </c>
      <c r="D299" s="1" t="s">
        <v>425</v>
      </c>
      <c r="BD299" s="74">
        <v>0</v>
      </c>
      <c r="BF299"/>
    </row>
    <row r="300" spans="1:58" hidden="1" outlineLevel="1" x14ac:dyDescent="0.3">
      <c r="B300" s="2">
        <v>29</v>
      </c>
      <c r="C300" s="2">
        <v>29</v>
      </c>
      <c r="D300" s="1" t="s">
        <v>426</v>
      </c>
      <c r="BD300" s="74">
        <v>0</v>
      </c>
      <c r="BF300"/>
    </row>
    <row r="301" spans="1:58" hidden="1" outlineLevel="1" x14ac:dyDescent="0.3">
      <c r="B301" s="2">
        <v>28</v>
      </c>
      <c r="C301" s="2">
        <v>27</v>
      </c>
      <c r="D301" s="1" t="s">
        <v>1</v>
      </c>
      <c r="BD301" s="74">
        <v>0</v>
      </c>
      <c r="BF301"/>
    </row>
    <row r="302" spans="1:58" hidden="1" outlineLevel="1" x14ac:dyDescent="0.3">
      <c r="B302" s="2">
        <v>26</v>
      </c>
      <c r="C302" s="2">
        <v>26</v>
      </c>
      <c r="D302" s="1" t="s">
        <v>427</v>
      </c>
      <c r="BD302" s="74">
        <v>0</v>
      </c>
      <c r="BF302"/>
    </row>
    <row r="303" spans="1:58" hidden="1" outlineLevel="1" x14ac:dyDescent="0.3">
      <c r="B303" s="2">
        <v>25</v>
      </c>
      <c r="C303" s="2">
        <v>25</v>
      </c>
      <c r="D303" s="1" t="s">
        <v>428</v>
      </c>
      <c r="BD303" s="74">
        <v>0</v>
      </c>
      <c r="BF303"/>
    </row>
    <row r="304" spans="1:58" hidden="1" outlineLevel="1" x14ac:dyDescent="0.3">
      <c r="B304" s="2">
        <v>24</v>
      </c>
      <c r="C304" s="2">
        <v>24</v>
      </c>
      <c r="D304" s="1" t="s">
        <v>429</v>
      </c>
      <c r="BD304" s="74">
        <v>0</v>
      </c>
      <c r="BF304"/>
    </row>
    <row r="305" spans="2:58" hidden="1" outlineLevel="1" x14ac:dyDescent="0.3">
      <c r="B305" s="2">
        <v>23</v>
      </c>
      <c r="C305" s="2">
        <v>23</v>
      </c>
      <c r="D305" s="1" t="s">
        <v>430</v>
      </c>
      <c r="BD305" s="74">
        <v>0</v>
      </c>
      <c r="BF305"/>
    </row>
    <row r="306" spans="2:58" hidden="1" outlineLevel="1" x14ac:dyDescent="0.3">
      <c r="B306" s="72">
        <v>22</v>
      </c>
      <c r="C306" s="72">
        <v>21</v>
      </c>
      <c r="D306" s="1" t="s">
        <v>431</v>
      </c>
      <c r="BD306" s="74">
        <v>1</v>
      </c>
      <c r="BF306"/>
    </row>
    <row r="307" spans="2:58" hidden="1" outlineLevel="1" x14ac:dyDescent="0.3">
      <c r="B307" s="72">
        <v>20</v>
      </c>
      <c r="C307" s="72">
        <v>20</v>
      </c>
      <c r="D307" s="7" t="s">
        <v>432</v>
      </c>
      <c r="BD307" s="74">
        <v>0</v>
      </c>
      <c r="BF307"/>
    </row>
    <row r="308" spans="2:58" hidden="1" outlineLevel="1" x14ac:dyDescent="0.3">
      <c r="B308" s="72">
        <v>19</v>
      </c>
      <c r="C308" s="72">
        <v>19</v>
      </c>
      <c r="D308" s="7" t="s">
        <v>433</v>
      </c>
      <c r="BD308" s="74">
        <v>1</v>
      </c>
      <c r="BF308"/>
    </row>
    <row r="309" spans="2:58" hidden="1" outlineLevel="1" x14ac:dyDescent="0.3">
      <c r="B309" s="72">
        <v>18</v>
      </c>
      <c r="C309" s="72">
        <v>18</v>
      </c>
      <c r="D309" s="7" t="s">
        <v>434</v>
      </c>
      <c r="BD309" s="74">
        <v>0</v>
      </c>
      <c r="BF309"/>
    </row>
    <row r="310" spans="2:58" hidden="1" outlineLevel="1" x14ac:dyDescent="0.3">
      <c r="B310" s="72">
        <v>17</v>
      </c>
      <c r="C310" s="72">
        <v>17</v>
      </c>
      <c r="D310" s="7" t="s">
        <v>435</v>
      </c>
      <c r="BD310" s="74">
        <v>0</v>
      </c>
      <c r="BF310"/>
    </row>
    <row r="311" spans="2:58" hidden="1" outlineLevel="1" x14ac:dyDescent="0.3">
      <c r="B311" s="72">
        <v>16</v>
      </c>
      <c r="C311" s="72">
        <v>16</v>
      </c>
      <c r="D311" s="7" t="s">
        <v>436</v>
      </c>
      <c r="BD311" s="74">
        <v>0</v>
      </c>
      <c r="BF311"/>
    </row>
    <row r="312" spans="2:58" hidden="1" outlineLevel="1" x14ac:dyDescent="0.3">
      <c r="B312" s="72">
        <v>15</v>
      </c>
      <c r="C312" s="72">
        <v>15</v>
      </c>
      <c r="D312" s="7" t="s">
        <v>437</v>
      </c>
      <c r="BD312" s="74">
        <v>0</v>
      </c>
      <c r="BF312"/>
    </row>
    <row r="313" spans="2:58" hidden="1" outlineLevel="1" x14ac:dyDescent="0.3">
      <c r="B313" s="72">
        <v>14</v>
      </c>
      <c r="C313" s="72">
        <v>14</v>
      </c>
      <c r="D313" s="7" t="s">
        <v>438</v>
      </c>
      <c r="BD313" s="74">
        <v>0</v>
      </c>
      <c r="BF313"/>
    </row>
    <row r="314" spans="2:58" hidden="1" outlineLevel="1" x14ac:dyDescent="0.3">
      <c r="B314" s="72">
        <v>13</v>
      </c>
      <c r="C314" s="72">
        <v>13</v>
      </c>
      <c r="D314" s="7" t="s">
        <v>439</v>
      </c>
      <c r="BD314" s="74">
        <v>0</v>
      </c>
      <c r="BF314"/>
    </row>
    <row r="315" spans="2:58" hidden="1" outlineLevel="1" x14ac:dyDescent="0.3">
      <c r="B315" s="72">
        <v>12</v>
      </c>
      <c r="C315" s="72">
        <v>12</v>
      </c>
      <c r="D315" s="7" t="s">
        <v>440</v>
      </c>
      <c r="BD315" s="74">
        <v>0</v>
      </c>
      <c r="BF315"/>
    </row>
    <row r="316" spans="2:58" hidden="1" outlineLevel="1" x14ac:dyDescent="0.3">
      <c r="B316" s="72">
        <v>11</v>
      </c>
      <c r="C316" s="72">
        <v>11</v>
      </c>
      <c r="D316" s="7" t="s">
        <v>441</v>
      </c>
      <c r="BD316" s="74">
        <v>0</v>
      </c>
      <c r="BF316"/>
    </row>
    <row r="317" spans="2:58" hidden="1" outlineLevel="1" x14ac:dyDescent="0.3">
      <c r="B317" s="72">
        <v>10</v>
      </c>
      <c r="C317" s="72">
        <v>10</v>
      </c>
      <c r="D317" s="7" t="s">
        <v>442</v>
      </c>
      <c r="BD317" s="74">
        <v>0</v>
      </c>
      <c r="BF317"/>
    </row>
    <row r="318" spans="2:58" hidden="1" outlineLevel="1" x14ac:dyDescent="0.3">
      <c r="B318" s="72">
        <v>9</v>
      </c>
      <c r="C318" s="72">
        <v>8</v>
      </c>
      <c r="D318" s="7" t="s">
        <v>443</v>
      </c>
      <c r="BD318" s="74">
        <v>0</v>
      </c>
      <c r="BF318"/>
    </row>
    <row r="319" spans="2:58" hidden="1" outlineLevel="1" x14ac:dyDescent="0.3">
      <c r="B319" s="72">
        <v>7</v>
      </c>
      <c r="C319" s="72">
        <v>7</v>
      </c>
      <c r="D319" s="7" t="s">
        <v>444</v>
      </c>
      <c r="BD319" s="74">
        <v>0</v>
      </c>
      <c r="BF319"/>
    </row>
    <row r="320" spans="2:58" hidden="1" outlineLevel="1" x14ac:dyDescent="0.3">
      <c r="B320" s="72">
        <v>6</v>
      </c>
      <c r="C320" s="72">
        <v>6</v>
      </c>
      <c r="D320" s="7" t="s">
        <v>445</v>
      </c>
      <c r="BD320" s="74">
        <v>0</v>
      </c>
      <c r="BF320"/>
    </row>
    <row r="321" spans="2:58" hidden="1" outlineLevel="1" x14ac:dyDescent="0.3">
      <c r="B321" s="72">
        <v>5</v>
      </c>
      <c r="C321" s="72">
        <v>5</v>
      </c>
      <c r="D321" s="7" t="s">
        <v>446</v>
      </c>
      <c r="BD321" s="74">
        <v>0</v>
      </c>
      <c r="BF321"/>
    </row>
    <row r="322" spans="2:58" hidden="1" outlineLevel="1" x14ac:dyDescent="0.3">
      <c r="B322" s="72">
        <v>4</v>
      </c>
      <c r="C322" s="72">
        <v>4</v>
      </c>
      <c r="D322" s="7" t="s">
        <v>447</v>
      </c>
      <c r="BD322" s="74">
        <v>0</v>
      </c>
      <c r="BF322"/>
    </row>
    <row r="323" spans="2:58" hidden="1" outlineLevel="1" x14ac:dyDescent="0.3">
      <c r="B323" s="72">
        <v>3</v>
      </c>
      <c r="C323" s="72">
        <v>3</v>
      </c>
      <c r="D323" s="1" t="s">
        <v>1</v>
      </c>
      <c r="BD323" s="74">
        <v>0</v>
      </c>
      <c r="BF323"/>
    </row>
    <row r="324" spans="2:58" hidden="1" outlineLevel="1" x14ac:dyDescent="0.3">
      <c r="B324" s="72">
        <v>2</v>
      </c>
      <c r="C324" s="72">
        <v>2</v>
      </c>
      <c r="D324" s="7" t="s">
        <v>448</v>
      </c>
      <c r="BD324" s="74">
        <v>0</v>
      </c>
      <c r="BF324"/>
    </row>
    <row r="325" spans="2:58" hidden="1" outlineLevel="1" x14ac:dyDescent="0.3">
      <c r="B325" s="72">
        <v>1</v>
      </c>
      <c r="C325" s="72">
        <v>1</v>
      </c>
      <c r="D325" s="7" t="s">
        <v>449</v>
      </c>
      <c r="BD325" s="74">
        <v>0</v>
      </c>
      <c r="BF325"/>
    </row>
    <row r="326" spans="2:58" hidden="1" outlineLevel="1" x14ac:dyDescent="0.3">
      <c r="B326" s="72">
        <v>0</v>
      </c>
      <c r="C326" s="72">
        <v>0</v>
      </c>
      <c r="D326" s="7" t="s">
        <v>450</v>
      </c>
      <c r="BD326" s="74">
        <v>0</v>
      </c>
      <c r="BF326"/>
    </row>
  </sheetData>
  <sheetProtection sheet="1" objects="1" scenarios="1"/>
  <dataConsolidate/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7"/>
  <sheetViews>
    <sheetView tabSelected="1" topLeftCell="A19" workbookViewId="0">
      <selection activeCell="E8" sqref="E8"/>
    </sheetView>
  </sheetViews>
  <sheetFormatPr defaultRowHeight="14.4" x14ac:dyDescent="0.3"/>
  <cols>
    <col min="1" max="1" width="20.33203125" customWidth="1"/>
    <col min="2" max="2" width="53.88671875" customWidth="1"/>
  </cols>
  <sheetData>
    <row r="1" spans="1:2" x14ac:dyDescent="0.3">
      <c r="A1" t="s">
        <v>329</v>
      </c>
      <c r="B1" t="s">
        <v>420</v>
      </c>
    </row>
    <row r="2" spans="1:2" x14ac:dyDescent="0.3">
      <c r="A2" t="s">
        <v>153</v>
      </c>
      <c r="B2" t="s">
        <v>332</v>
      </c>
    </row>
    <row r="3" spans="1:2" x14ac:dyDescent="0.3">
      <c r="A3" s="53" t="s">
        <v>330</v>
      </c>
      <c r="B3" s="54">
        <v>42401</v>
      </c>
    </row>
    <row r="4" spans="1:2" x14ac:dyDescent="0.3">
      <c r="A4" s="53" t="s">
        <v>331</v>
      </c>
      <c r="B4" s="53" t="s">
        <v>457</v>
      </c>
    </row>
    <row r="6" spans="1:2" x14ac:dyDescent="0.3">
      <c r="A6" s="55" t="s">
        <v>366</v>
      </c>
      <c r="B6" s="55" t="s">
        <v>231</v>
      </c>
    </row>
    <row r="7" spans="1:2" ht="57.6" x14ac:dyDescent="0.3">
      <c r="A7" s="57" t="s">
        <v>367</v>
      </c>
      <c r="B7" s="58" t="s">
        <v>368</v>
      </c>
    </row>
    <row r="8" spans="1:2" ht="302.39999999999998" x14ac:dyDescent="0.3">
      <c r="A8" s="57" t="s">
        <v>369</v>
      </c>
      <c r="B8" s="59" t="s">
        <v>370</v>
      </c>
    </row>
    <row r="9" spans="1:2" ht="28.8" x14ac:dyDescent="0.3">
      <c r="A9" s="53" t="s">
        <v>371</v>
      </c>
      <c r="B9" s="56" t="s">
        <v>372</v>
      </c>
    </row>
    <row r="10" spans="1:2" ht="45" customHeight="1" x14ac:dyDescent="0.3">
      <c r="A10" s="53" t="s">
        <v>373</v>
      </c>
      <c r="B10" s="60" t="s">
        <v>374</v>
      </c>
    </row>
    <row r="11" spans="1:2" ht="34.5" customHeight="1" x14ac:dyDescent="0.3">
      <c r="A11" s="57" t="s">
        <v>377</v>
      </c>
      <c r="B11" s="61" t="s">
        <v>375</v>
      </c>
    </row>
    <row r="12" spans="1:2" ht="72" x14ac:dyDescent="0.3">
      <c r="A12" s="57" t="s">
        <v>378</v>
      </c>
      <c r="B12" s="62" t="s">
        <v>398</v>
      </c>
    </row>
    <row r="13" spans="1:2" x14ac:dyDescent="0.3">
      <c r="A13" s="53" t="s">
        <v>399</v>
      </c>
      <c r="B13" s="53" t="s">
        <v>400</v>
      </c>
    </row>
    <row r="14" spans="1:2" ht="28.8" x14ac:dyDescent="0.3">
      <c r="A14" s="53" t="s">
        <v>401</v>
      </c>
      <c r="B14" s="60" t="s">
        <v>402</v>
      </c>
    </row>
    <row r="15" spans="1:2" ht="86.4" x14ac:dyDescent="0.3">
      <c r="A15" s="68" t="s">
        <v>403</v>
      </c>
      <c r="B15" s="60" t="s">
        <v>404</v>
      </c>
    </row>
    <row r="16" spans="1:2" ht="72" x14ac:dyDescent="0.3">
      <c r="A16" s="68" t="s">
        <v>405</v>
      </c>
      <c r="B16" s="60" t="s">
        <v>406</v>
      </c>
    </row>
    <row r="17" spans="1:2" ht="51.75" customHeight="1" x14ac:dyDescent="0.3">
      <c r="A17" s="61" t="s">
        <v>407</v>
      </c>
      <c r="B17" s="61" t="s">
        <v>408</v>
      </c>
    </row>
    <row r="18" spans="1:2" x14ac:dyDescent="0.3">
      <c r="A18" s="61" t="s">
        <v>409</v>
      </c>
      <c r="B18" s="61" t="s">
        <v>410</v>
      </c>
    </row>
    <row r="19" spans="1:2" ht="86.4" x14ac:dyDescent="0.3">
      <c r="A19" s="61" t="s">
        <v>412</v>
      </c>
      <c r="B19" s="61" t="s">
        <v>411</v>
      </c>
    </row>
    <row r="20" spans="1:2" x14ac:dyDescent="0.3">
      <c r="A20" s="53" t="s">
        <v>414</v>
      </c>
      <c r="B20" s="53" t="s">
        <v>413</v>
      </c>
    </row>
    <row r="21" spans="1:2" ht="43.2" x14ac:dyDescent="0.3">
      <c r="A21" s="69" t="s">
        <v>415</v>
      </c>
      <c r="B21" s="70" t="s">
        <v>416</v>
      </c>
    </row>
    <row r="22" spans="1:2" ht="43.2" x14ac:dyDescent="0.3">
      <c r="A22" s="57" t="s">
        <v>418</v>
      </c>
      <c r="B22" s="61" t="s">
        <v>417</v>
      </c>
    </row>
    <row r="23" spans="1:2" x14ac:dyDescent="0.3">
      <c r="A23" s="57" t="s">
        <v>419</v>
      </c>
      <c r="B23" s="61" t="s">
        <v>421</v>
      </c>
    </row>
    <row r="24" spans="1:2" x14ac:dyDescent="0.3">
      <c r="A24" s="57" t="s">
        <v>419</v>
      </c>
      <c r="B24" s="61" t="s">
        <v>452</v>
      </c>
    </row>
    <row r="25" spans="1:2" ht="43.2" x14ac:dyDescent="0.3">
      <c r="A25" s="57" t="s">
        <v>422</v>
      </c>
      <c r="B25" s="71" t="s">
        <v>451</v>
      </c>
    </row>
    <row r="26" spans="1:2" ht="28.8" x14ac:dyDescent="0.3">
      <c r="A26" s="57" t="s">
        <v>453</v>
      </c>
      <c r="B26" s="71" t="s">
        <v>454</v>
      </c>
    </row>
    <row r="27" spans="1:2" x14ac:dyDescent="0.3">
      <c r="A27" s="57" t="s">
        <v>455</v>
      </c>
      <c r="B27" s="61" t="s">
        <v>456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Target</vt:lpstr>
      <vt:lpstr>Initiator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Sundaresan Swaminathan</dc:creator>
  <cp:lastModifiedBy>G Maniraj Ashirwad</cp:lastModifiedBy>
  <dcterms:created xsi:type="dcterms:W3CDTF">2014-12-24T12:54:41Z</dcterms:created>
  <dcterms:modified xsi:type="dcterms:W3CDTF">2016-02-01T10:26:51Z</dcterms:modified>
</cp:coreProperties>
</file>